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ENOVO\Desktop\PHASAOC\Composante 4 - Gestion &amp; S&amp;E\PTBA\"/>
    </mc:Choice>
  </mc:AlternateContent>
  <xr:revisionPtr revIDLastSave="0" documentId="13_ncr:1_{CA121200-2DA3-4775-A79A-6F58E3816237}" xr6:coauthVersionLast="47" xr6:coauthVersionMax="47" xr10:uidLastSave="{00000000-0000-0000-0000-000000000000}"/>
  <bookViews>
    <workbookView xWindow="3240" yWindow="3240" windowWidth="17280" windowHeight="8880" firstSheet="1" activeTab="1" xr2:uid="{00000000-000D-0000-FFFF-FFFF00000000}"/>
  </bookViews>
  <sheets>
    <sheet name="PTBA-2026" sheetId="1" state="hidden" r:id="rId1"/>
    <sheet name="PTBA-2026_RÉADAPTÉ" sheetId="2" r:id="rId2"/>
  </sheets>
  <definedNames>
    <definedName name="_xlnm._FilterDatabase" localSheetId="1" hidden="1">'PTBA-2026_RÉADAPTÉ'!$A$8:$H$8</definedName>
    <definedName name="_xlnm.Print_Titles" localSheetId="0">'PTBA-2026'!$1:$1</definedName>
    <definedName name="_xlnm.Print_Titles" localSheetId="1">'PTBA-2026_RÉADAPTÉ'!$8:$8</definedName>
    <definedName name="_xlnm.Print_Area" localSheetId="0">'PTBA-2026'!$A$1:$J$119</definedName>
    <definedName name="_xlnm.Print_Area" localSheetId="1">'PTBA-2026_RÉADAPTÉ'!$A$8:$H$126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1" i="2" l="1"/>
  <c r="D108" i="2"/>
  <c r="D67" i="2"/>
  <c r="G67" i="2"/>
  <c r="G29" i="2"/>
  <c r="G75" i="2"/>
  <c r="G74" i="2" s="1"/>
  <c r="G4" i="2"/>
  <c r="G6" i="2" s="1"/>
  <c r="F103" i="2"/>
  <c r="E103" i="2"/>
  <c r="D103" i="2"/>
  <c r="F30" i="2"/>
  <c r="E30" i="2"/>
  <c r="D30" i="2"/>
  <c r="D112" i="2" l="1"/>
  <c r="C101" i="2"/>
  <c r="F95" i="2"/>
  <c r="E95" i="2"/>
  <c r="D95" i="2"/>
  <c r="F101" i="2"/>
  <c r="E101" i="2"/>
  <c r="D79" i="2"/>
  <c r="F79" i="2"/>
  <c r="E79" i="2"/>
  <c r="C79" i="2"/>
  <c r="D80" i="2"/>
  <c r="F21" i="2"/>
  <c r="E21" i="2"/>
  <c r="D21" i="2"/>
  <c r="G101" i="2" l="1"/>
  <c r="G79" i="2"/>
  <c r="G100" i="2" l="1"/>
  <c r="F65" i="2"/>
  <c r="E65" i="2"/>
  <c r="D65" i="2"/>
  <c r="D111" i="2"/>
  <c r="C65" i="2"/>
  <c r="F111" i="2"/>
  <c r="E111" i="2"/>
  <c r="D102" i="2"/>
  <c r="C103" i="2"/>
  <c r="F102" i="2"/>
  <c r="E102" i="2"/>
  <c r="G65" i="2" l="1"/>
  <c r="G103" i="2"/>
  <c r="C102" i="2"/>
  <c r="F108" i="2"/>
  <c r="C109" i="2"/>
  <c r="D27" i="2"/>
  <c r="G102" i="2" l="1"/>
  <c r="D85" i="2"/>
  <c r="D26" i="2"/>
  <c r="D45" i="2"/>
  <c r="D44" i="2" s="1"/>
  <c r="D119" i="2"/>
  <c r="D109" i="2"/>
  <c r="D48" i="2"/>
  <c r="D15" i="2"/>
  <c r="F123" i="2"/>
  <c r="F122" i="2" s="1"/>
  <c r="F121" i="2" s="1"/>
  <c r="E123" i="2"/>
  <c r="E122" i="2" s="1"/>
  <c r="E121" i="2" s="1"/>
  <c r="D123" i="2"/>
  <c r="D122" i="2" s="1"/>
  <c r="D121" i="2" s="1"/>
  <c r="C123" i="2"/>
  <c r="E118" i="2"/>
  <c r="D118" i="2"/>
  <c r="C118" i="2"/>
  <c r="F117" i="2"/>
  <c r="E117" i="2"/>
  <c r="D117" i="2"/>
  <c r="C117" i="2"/>
  <c r="F116" i="2"/>
  <c r="E116" i="2"/>
  <c r="D116" i="2"/>
  <c r="C116" i="2"/>
  <c r="E115" i="2"/>
  <c r="D115" i="2"/>
  <c r="C115" i="2"/>
  <c r="F114" i="2"/>
  <c r="E114" i="2"/>
  <c r="D114" i="2"/>
  <c r="C114" i="2"/>
  <c r="F113" i="2"/>
  <c r="E113" i="2"/>
  <c r="D113" i="2"/>
  <c r="C113" i="2"/>
  <c r="F112" i="2"/>
  <c r="E112" i="2"/>
  <c r="C112" i="2"/>
  <c r="C111" i="2"/>
  <c r="F109" i="2"/>
  <c r="F107" i="2" s="1"/>
  <c r="E109" i="2"/>
  <c r="E108" i="2"/>
  <c r="D107" i="2"/>
  <c r="C108" i="2"/>
  <c r="F100" i="2"/>
  <c r="E100" i="2"/>
  <c r="D100" i="2"/>
  <c r="F99" i="2"/>
  <c r="F98" i="2" s="1"/>
  <c r="E99" i="2"/>
  <c r="E98" i="2" s="1"/>
  <c r="D99" i="2"/>
  <c r="D98" i="2" s="1"/>
  <c r="C99" i="2"/>
  <c r="F96" i="2"/>
  <c r="F94" i="2" s="1"/>
  <c r="F93" i="2" s="1"/>
  <c r="D96" i="2"/>
  <c r="D94" i="2" s="1"/>
  <c r="D93" i="2" s="1"/>
  <c r="C96" i="2"/>
  <c r="C95" i="2"/>
  <c r="E94" i="2"/>
  <c r="E93" i="2" s="1"/>
  <c r="F92" i="2"/>
  <c r="E92" i="2"/>
  <c r="D92" i="2"/>
  <c r="C92" i="2"/>
  <c r="F91" i="2"/>
  <c r="E91" i="2"/>
  <c r="D91" i="2"/>
  <c r="C91" i="2"/>
  <c r="E90" i="2"/>
  <c r="D90" i="2"/>
  <c r="C90" i="2"/>
  <c r="F89" i="2"/>
  <c r="E89" i="2"/>
  <c r="D89" i="2"/>
  <c r="C89" i="2"/>
  <c r="F88" i="2"/>
  <c r="E88" i="2"/>
  <c r="D88" i="2"/>
  <c r="C88" i="2"/>
  <c r="E87" i="2"/>
  <c r="C87" i="2"/>
  <c r="E86" i="2"/>
  <c r="F85" i="2"/>
  <c r="E85" i="2"/>
  <c r="C85" i="2"/>
  <c r="F84" i="2"/>
  <c r="D84" i="2"/>
  <c r="F83" i="2"/>
  <c r="E83" i="2"/>
  <c r="E80" i="2"/>
  <c r="C80" i="2"/>
  <c r="F76" i="2"/>
  <c r="F75" i="2" s="1"/>
  <c r="F74" i="2" s="1"/>
  <c r="E76" i="2"/>
  <c r="E75" i="2" s="1"/>
  <c r="E74" i="2" s="1"/>
  <c r="D76" i="2"/>
  <c r="D75" i="2" s="1"/>
  <c r="D74" i="2" s="1"/>
  <c r="C76" i="2"/>
  <c r="F71" i="2"/>
  <c r="F70" i="2" s="1"/>
  <c r="E71" i="2"/>
  <c r="E70" i="2" s="1"/>
  <c r="D71" i="2"/>
  <c r="D70" i="2" s="1"/>
  <c r="C71" i="2"/>
  <c r="F69" i="2"/>
  <c r="E69" i="2"/>
  <c r="D69" i="2"/>
  <c r="C69" i="2"/>
  <c r="D68" i="2"/>
  <c r="C68" i="2"/>
  <c r="E67" i="2"/>
  <c r="C67" i="2"/>
  <c r="F66" i="2"/>
  <c r="E66" i="2"/>
  <c r="D66" i="2"/>
  <c r="C66" i="2"/>
  <c r="F64" i="2"/>
  <c r="E64" i="2"/>
  <c r="C64" i="2"/>
  <c r="F63" i="2"/>
  <c r="E63" i="2"/>
  <c r="D63" i="2"/>
  <c r="C63" i="2"/>
  <c r="F62" i="2"/>
  <c r="E62" i="2"/>
  <c r="D62" i="2"/>
  <c r="C62" i="2"/>
  <c r="C61" i="2"/>
  <c r="E60" i="2"/>
  <c r="D60" i="2"/>
  <c r="C60" i="2"/>
  <c r="F59" i="2"/>
  <c r="E59" i="2"/>
  <c r="F58" i="2"/>
  <c r="E58" i="2"/>
  <c r="D58" i="2"/>
  <c r="C58" i="2"/>
  <c r="F56" i="2"/>
  <c r="F55" i="2" s="1"/>
  <c r="D56" i="2"/>
  <c r="D55" i="2" s="1"/>
  <c r="C56" i="2"/>
  <c r="E55" i="2"/>
  <c r="F54" i="2"/>
  <c r="E54" i="2"/>
  <c r="D54" i="2"/>
  <c r="C54" i="2"/>
  <c r="F53" i="2"/>
  <c r="E53" i="2"/>
  <c r="D53" i="2"/>
  <c r="C53" i="2"/>
  <c r="D50" i="2"/>
  <c r="D49" i="2" s="1"/>
  <c r="C50" i="2"/>
  <c r="F49" i="2"/>
  <c r="E49" i="2"/>
  <c r="F48" i="2"/>
  <c r="F46" i="2" s="1"/>
  <c r="C48" i="2"/>
  <c r="E47" i="2"/>
  <c r="E46" i="2" s="1"/>
  <c r="D47" i="2"/>
  <c r="C47" i="2"/>
  <c r="F45" i="2"/>
  <c r="F44" i="2" s="1"/>
  <c r="E45" i="2"/>
  <c r="E44" i="2" s="1"/>
  <c r="C45" i="2"/>
  <c r="F42" i="2"/>
  <c r="E42" i="2"/>
  <c r="D42" i="2"/>
  <c r="C42" i="2"/>
  <c r="F41" i="2"/>
  <c r="E41" i="2"/>
  <c r="D41" i="2"/>
  <c r="C41" i="2"/>
  <c r="F40" i="2"/>
  <c r="E40" i="2"/>
  <c r="D40" i="2"/>
  <c r="C40" i="2"/>
  <c r="F39" i="2"/>
  <c r="E39" i="2"/>
  <c r="D39" i="2"/>
  <c r="C39" i="2"/>
  <c r="F38" i="2"/>
  <c r="E38" i="2"/>
  <c r="C38" i="2"/>
  <c r="F36" i="2"/>
  <c r="F35" i="2" s="1"/>
  <c r="E36" i="2"/>
  <c r="E35" i="2" s="1"/>
  <c r="D36" i="2"/>
  <c r="D35" i="2" s="1"/>
  <c r="C36" i="2"/>
  <c r="F34" i="2"/>
  <c r="F33" i="2" s="1"/>
  <c r="F32" i="2" s="1"/>
  <c r="F31" i="2" s="1"/>
  <c r="E34" i="2"/>
  <c r="E33" i="2" s="1"/>
  <c r="D34" i="2"/>
  <c r="C34" i="2"/>
  <c r="C32" i="2"/>
  <c r="E31" i="2"/>
  <c r="D31" i="2"/>
  <c r="C30" i="2"/>
  <c r="C28" i="2"/>
  <c r="F27" i="2"/>
  <c r="F26" i="2" s="1"/>
  <c r="E27" i="2"/>
  <c r="E26" i="2" s="1"/>
  <c r="C27" i="2"/>
  <c r="F24" i="2"/>
  <c r="F23" i="2" s="1"/>
  <c r="E24" i="2"/>
  <c r="E23" i="2" s="1"/>
  <c r="D24" i="2"/>
  <c r="D23" i="2" s="1"/>
  <c r="C24" i="2"/>
  <c r="E22" i="2"/>
  <c r="D22" i="2"/>
  <c r="C22" i="2"/>
  <c r="C21" i="2"/>
  <c r="F20" i="2"/>
  <c r="E20" i="2"/>
  <c r="D20" i="2"/>
  <c r="C20" i="2"/>
  <c r="F19" i="2"/>
  <c r="E19" i="2"/>
  <c r="D19" i="2"/>
  <c r="C19" i="2"/>
  <c r="E17" i="2"/>
  <c r="D17" i="2"/>
  <c r="C17" i="2"/>
  <c r="F16" i="2"/>
  <c r="E16" i="2"/>
  <c r="D16" i="2"/>
  <c r="C16" i="2"/>
  <c r="F15" i="2"/>
  <c r="E15" i="2"/>
  <c r="C15" i="2"/>
  <c r="F13" i="2"/>
  <c r="F11" i="2" s="1"/>
  <c r="E13" i="2"/>
  <c r="D13" i="2"/>
  <c r="C13" i="2"/>
  <c r="E12" i="2"/>
  <c r="D12" i="2"/>
  <c r="C12" i="2"/>
  <c r="H77" i="1"/>
  <c r="H97" i="1"/>
  <c r="C97" i="1"/>
  <c r="E77" i="1"/>
  <c r="G61" i="2" l="1"/>
  <c r="G50" i="2"/>
  <c r="G15" i="2"/>
  <c r="G36" i="2"/>
  <c r="G62" i="2"/>
  <c r="G40" i="2"/>
  <c r="G95" i="2"/>
  <c r="G86" i="2"/>
  <c r="G119" i="2"/>
  <c r="G27" i="2"/>
  <c r="G30" i="2"/>
  <c r="G20" i="2"/>
  <c r="G45" i="2"/>
  <c r="G21" i="2"/>
  <c r="C33" i="2"/>
  <c r="G53" i="2"/>
  <c r="G41" i="2"/>
  <c r="G38" i="2"/>
  <c r="G108" i="2"/>
  <c r="G54" i="2"/>
  <c r="G17" i="2"/>
  <c r="G22" i="2"/>
  <c r="G80" i="2"/>
  <c r="G58" i="2"/>
  <c r="G85" i="2"/>
  <c r="G117" i="2"/>
  <c r="G118" i="2"/>
  <c r="G83" i="2"/>
  <c r="G71" i="2"/>
  <c r="G84" i="2"/>
  <c r="G89" i="2"/>
  <c r="G113" i="2"/>
  <c r="G63" i="2"/>
  <c r="G90" i="2"/>
  <c r="G114" i="2"/>
  <c r="G47" i="2"/>
  <c r="G96" i="2"/>
  <c r="G59" i="2"/>
  <c r="G68" i="2"/>
  <c r="G87" i="2"/>
  <c r="G16" i="2"/>
  <c r="G12" i="2"/>
  <c r="G91" i="2"/>
  <c r="G28" i="2"/>
  <c r="G13" i="2"/>
  <c r="G48" i="2"/>
  <c r="G60" i="2"/>
  <c r="G64" i="2"/>
  <c r="G69" i="2"/>
  <c r="G88" i="2"/>
  <c r="G99" i="2"/>
  <c r="G111" i="2"/>
  <c r="G115" i="2"/>
  <c r="G32" i="2"/>
  <c r="G112" i="2"/>
  <c r="G19" i="2"/>
  <c r="G24" i="2"/>
  <c r="G39" i="2"/>
  <c r="G42" i="2"/>
  <c r="G123" i="2"/>
  <c r="G34" i="2"/>
  <c r="G56" i="2"/>
  <c r="G66" i="2"/>
  <c r="G92" i="2"/>
  <c r="G116" i="2"/>
  <c r="G109" i="2"/>
  <c r="C70" i="2"/>
  <c r="C44" i="2"/>
  <c r="C35" i="2"/>
  <c r="C75" i="2"/>
  <c r="C23" i="2"/>
  <c r="C31" i="2"/>
  <c r="C98" i="2"/>
  <c r="C55" i="2"/>
  <c r="C52" i="2"/>
  <c r="C18" i="2"/>
  <c r="D52" i="2"/>
  <c r="E52" i="2"/>
  <c r="F110" i="2"/>
  <c r="F106" i="2" s="1"/>
  <c r="F105" i="2" s="1"/>
  <c r="F52" i="2"/>
  <c r="C37" i="2"/>
  <c r="C110" i="2"/>
  <c r="D18" i="2"/>
  <c r="E110" i="2"/>
  <c r="D14" i="2"/>
  <c r="D110" i="2"/>
  <c r="D106" i="2" s="1"/>
  <c r="D105" i="2" s="1"/>
  <c r="D97" i="2"/>
  <c r="F97" i="2"/>
  <c r="C107" i="2"/>
  <c r="E97" i="2"/>
  <c r="D57" i="2"/>
  <c r="E11" i="2"/>
  <c r="F14" i="2"/>
  <c r="F18" i="2"/>
  <c r="F82" i="2"/>
  <c r="F81" i="2" s="1"/>
  <c r="E107" i="2"/>
  <c r="D37" i="2"/>
  <c r="F37" i="2"/>
  <c r="F25" i="2" s="1"/>
  <c r="E18" i="2"/>
  <c r="D11" i="2"/>
  <c r="E14" i="2"/>
  <c r="C26" i="2"/>
  <c r="E82" i="2"/>
  <c r="E81" i="2" s="1"/>
  <c r="D46" i="2"/>
  <c r="D43" i="2" s="1"/>
  <c r="F43" i="2"/>
  <c r="E37" i="2"/>
  <c r="E25" i="2" s="1"/>
  <c r="C49" i="2"/>
  <c r="C11" i="2"/>
  <c r="C94" i="2"/>
  <c r="E43" i="2"/>
  <c r="C100" i="2"/>
  <c r="C82" i="2"/>
  <c r="C122" i="2"/>
  <c r="C46" i="2"/>
  <c r="C57" i="2"/>
  <c r="D82" i="2"/>
  <c r="D81" i="2" s="1"/>
  <c r="D33" i="2"/>
  <c r="E57" i="2"/>
  <c r="F57" i="2"/>
  <c r="C14" i="2"/>
  <c r="D97" i="1"/>
  <c r="G78" i="2" l="1"/>
  <c r="G77" i="2" s="1"/>
  <c r="G49" i="2"/>
  <c r="G35" i="2"/>
  <c r="G52" i="2"/>
  <c r="G44" i="2"/>
  <c r="G26" i="2"/>
  <c r="G46" i="2"/>
  <c r="G14" i="2"/>
  <c r="G122" i="2"/>
  <c r="G57" i="2"/>
  <c r="G11" i="2"/>
  <c r="G23" i="2"/>
  <c r="G82" i="2"/>
  <c r="G55" i="2"/>
  <c r="G31" i="2"/>
  <c r="G98" i="2"/>
  <c r="G33" i="2"/>
  <c r="G37" i="2"/>
  <c r="G110" i="2"/>
  <c r="G18" i="2"/>
  <c r="G94" i="2"/>
  <c r="G107" i="2"/>
  <c r="G70" i="2"/>
  <c r="C93" i="2"/>
  <c r="E51" i="2"/>
  <c r="C81" i="2"/>
  <c r="C121" i="2"/>
  <c r="C97" i="2"/>
  <c r="C74" i="2"/>
  <c r="D51" i="2"/>
  <c r="D10" i="2"/>
  <c r="F10" i="2"/>
  <c r="C51" i="2"/>
  <c r="F51" i="2"/>
  <c r="E106" i="2"/>
  <c r="E105" i="2" s="1"/>
  <c r="D25" i="2"/>
  <c r="C25" i="2"/>
  <c r="C106" i="2"/>
  <c r="E10" i="2"/>
  <c r="C43" i="2"/>
  <c r="C10" i="2"/>
  <c r="D20" i="1"/>
  <c r="G43" i="2" l="1"/>
  <c r="G93" i="2"/>
  <c r="G121" i="2"/>
  <c r="G10" i="2"/>
  <c r="G97" i="2"/>
  <c r="G25" i="2"/>
  <c r="G81" i="2"/>
  <c r="G51" i="2"/>
  <c r="G106" i="2"/>
  <c r="E9" i="2"/>
  <c r="F9" i="2"/>
  <c r="C105" i="2"/>
  <c r="D9" i="2"/>
  <c r="C9" i="2"/>
  <c r="L5" i="1"/>
  <c r="D38" i="1"/>
  <c r="D77" i="1"/>
  <c r="C6" i="1"/>
  <c r="H108" i="1"/>
  <c r="G9" i="2" l="1"/>
  <c r="G73" i="2"/>
  <c r="G105" i="2"/>
  <c r="G117" i="1"/>
  <c r="G119" i="1" s="1"/>
  <c r="F111" i="1"/>
  <c r="E111" i="1"/>
  <c r="E110" i="1" s="1"/>
  <c r="E109" i="1" s="1"/>
  <c r="D111" i="1"/>
  <c r="C111" i="1"/>
  <c r="C110" i="1" s="1"/>
  <c r="C109" i="1" s="1"/>
  <c r="H110" i="1"/>
  <c r="H109" i="1" s="1"/>
  <c r="F110" i="1"/>
  <c r="F109" i="1" s="1"/>
  <c r="I108" i="1"/>
  <c r="E107" i="1"/>
  <c r="D107" i="1"/>
  <c r="C107" i="1"/>
  <c r="F106" i="1"/>
  <c r="E106" i="1"/>
  <c r="D106" i="1"/>
  <c r="C106" i="1"/>
  <c r="G106" i="1" s="1"/>
  <c r="I106" i="1" s="1"/>
  <c r="F105" i="1"/>
  <c r="E105" i="1"/>
  <c r="D105" i="1"/>
  <c r="C105" i="1"/>
  <c r="E104" i="1"/>
  <c r="D104" i="1"/>
  <c r="C104" i="1"/>
  <c r="F103" i="1"/>
  <c r="E103" i="1"/>
  <c r="D103" i="1"/>
  <c r="C103" i="1"/>
  <c r="F102" i="1"/>
  <c r="G102" i="1" s="1"/>
  <c r="I102" i="1" s="1"/>
  <c r="E102" i="1"/>
  <c r="D102" i="1"/>
  <c r="C102" i="1"/>
  <c r="H101" i="1"/>
  <c r="H99" i="1" s="1"/>
  <c r="F101" i="1"/>
  <c r="E101" i="1"/>
  <c r="D101" i="1"/>
  <c r="C101" i="1"/>
  <c r="F100" i="1"/>
  <c r="E100" i="1"/>
  <c r="D100" i="1"/>
  <c r="C100" i="1"/>
  <c r="F98" i="1"/>
  <c r="E98" i="1"/>
  <c r="D98" i="1"/>
  <c r="D96" i="1" s="1"/>
  <c r="C98" i="1"/>
  <c r="G98" i="1" s="1"/>
  <c r="I98" i="1" s="1"/>
  <c r="H96" i="1"/>
  <c r="F97" i="1"/>
  <c r="F96" i="1" s="1"/>
  <c r="E97" i="1"/>
  <c r="E96" i="1" s="1"/>
  <c r="F93" i="1"/>
  <c r="F92" i="1" s="1"/>
  <c r="E93" i="1"/>
  <c r="E92" i="1" s="1"/>
  <c r="D93" i="1"/>
  <c r="D92" i="1" s="1"/>
  <c r="C93" i="1"/>
  <c r="H92" i="1"/>
  <c r="F91" i="1"/>
  <c r="F90" i="1" s="1"/>
  <c r="E91" i="1"/>
  <c r="E90" i="1" s="1"/>
  <c r="D91" i="1"/>
  <c r="D90" i="1" s="1"/>
  <c r="C91" i="1"/>
  <c r="H90" i="1"/>
  <c r="H89" i="1" s="1"/>
  <c r="F88" i="1"/>
  <c r="D88" i="1"/>
  <c r="C88" i="1"/>
  <c r="F87" i="1"/>
  <c r="E87" i="1"/>
  <c r="D87" i="1"/>
  <c r="C87" i="1"/>
  <c r="H86" i="1"/>
  <c r="H85" i="1" s="1"/>
  <c r="E86" i="1"/>
  <c r="E85" i="1" s="1"/>
  <c r="F84" i="1"/>
  <c r="E84" i="1"/>
  <c r="D84" i="1"/>
  <c r="G84" i="1" s="1"/>
  <c r="I84" i="1" s="1"/>
  <c r="C84" i="1"/>
  <c r="F83" i="1"/>
  <c r="E83" i="1"/>
  <c r="D83" i="1"/>
  <c r="C83" i="1"/>
  <c r="E82" i="1"/>
  <c r="D82" i="1"/>
  <c r="C82" i="1"/>
  <c r="F81" i="1"/>
  <c r="E81" i="1"/>
  <c r="D81" i="1"/>
  <c r="C81" i="1"/>
  <c r="F80" i="1"/>
  <c r="E80" i="1"/>
  <c r="D80" i="1"/>
  <c r="C80" i="1"/>
  <c r="E79" i="1"/>
  <c r="C79" i="1"/>
  <c r="G79" i="1" s="1"/>
  <c r="I79" i="1" s="1"/>
  <c r="E78" i="1"/>
  <c r="G78" i="1" s="1"/>
  <c r="I78" i="1" s="1"/>
  <c r="F77" i="1"/>
  <c r="C77" i="1"/>
  <c r="F76" i="1"/>
  <c r="D76" i="1"/>
  <c r="F75" i="1"/>
  <c r="E75" i="1"/>
  <c r="H74" i="1"/>
  <c r="H73" i="1" s="1"/>
  <c r="E72" i="1"/>
  <c r="D72" i="1"/>
  <c r="C72" i="1"/>
  <c r="G71" i="1"/>
  <c r="I71" i="1" s="1"/>
  <c r="E71" i="1"/>
  <c r="D71" i="1"/>
  <c r="H70" i="1"/>
  <c r="H69" i="1" s="1"/>
  <c r="I68" i="1"/>
  <c r="F68" i="1"/>
  <c r="F67" i="1" s="1"/>
  <c r="F66" i="1" s="1"/>
  <c r="E68" i="1"/>
  <c r="E67" i="1" s="1"/>
  <c r="E66" i="1" s="1"/>
  <c r="D68" i="1"/>
  <c r="D67" i="1" s="1"/>
  <c r="D66" i="1" s="1"/>
  <c r="C68" i="1"/>
  <c r="C67" i="1" s="1"/>
  <c r="C66" i="1" s="1"/>
  <c r="H67" i="1"/>
  <c r="H66" i="1" s="1"/>
  <c r="G67" i="1"/>
  <c r="G66" i="1" s="1"/>
  <c r="F64" i="1"/>
  <c r="F63" i="1" s="1"/>
  <c r="E64" i="1"/>
  <c r="E63" i="1" s="1"/>
  <c r="D64" i="1"/>
  <c r="D63" i="1" s="1"/>
  <c r="C64" i="1"/>
  <c r="G64" i="1" s="1"/>
  <c r="H63" i="1"/>
  <c r="F62" i="1"/>
  <c r="E62" i="1"/>
  <c r="D62" i="1"/>
  <c r="C62" i="1"/>
  <c r="D61" i="1"/>
  <c r="C61" i="1"/>
  <c r="G61" i="1" s="1"/>
  <c r="I61" i="1" s="1"/>
  <c r="E60" i="1"/>
  <c r="D60" i="1"/>
  <c r="C60" i="1"/>
  <c r="F59" i="1"/>
  <c r="E59" i="1"/>
  <c r="D59" i="1"/>
  <c r="C59" i="1"/>
  <c r="C58" i="1"/>
  <c r="G58" i="1" s="1"/>
  <c r="I58" i="1" s="1"/>
  <c r="F57" i="1"/>
  <c r="E57" i="1"/>
  <c r="C57" i="1"/>
  <c r="F56" i="1"/>
  <c r="E56" i="1"/>
  <c r="D56" i="1"/>
  <c r="C56" i="1"/>
  <c r="F55" i="1"/>
  <c r="E55" i="1"/>
  <c r="D55" i="1"/>
  <c r="C55" i="1"/>
  <c r="C54" i="1"/>
  <c r="G54" i="1" s="1"/>
  <c r="I54" i="1" s="1"/>
  <c r="E53" i="1"/>
  <c r="D53" i="1"/>
  <c r="C53" i="1"/>
  <c r="F52" i="1"/>
  <c r="E52" i="1"/>
  <c r="F51" i="1"/>
  <c r="E51" i="1"/>
  <c r="D51" i="1"/>
  <c r="C51" i="1"/>
  <c r="H50" i="1"/>
  <c r="F49" i="1"/>
  <c r="F48" i="1" s="1"/>
  <c r="D49" i="1"/>
  <c r="D48" i="1" s="1"/>
  <c r="C49" i="1"/>
  <c r="C48" i="1" s="1"/>
  <c r="H48" i="1"/>
  <c r="E48" i="1"/>
  <c r="F47" i="1"/>
  <c r="E47" i="1"/>
  <c r="D47" i="1"/>
  <c r="C47" i="1"/>
  <c r="G47" i="1" s="1"/>
  <c r="I47" i="1" s="1"/>
  <c r="F46" i="1"/>
  <c r="F45" i="1" s="1"/>
  <c r="E46" i="1"/>
  <c r="D46" i="1"/>
  <c r="C46" i="1"/>
  <c r="H45" i="1"/>
  <c r="D43" i="1"/>
  <c r="C43" i="1"/>
  <c r="H42" i="1"/>
  <c r="F42" i="1"/>
  <c r="E42" i="1"/>
  <c r="D42" i="1"/>
  <c r="F41" i="1"/>
  <c r="F39" i="1" s="1"/>
  <c r="C41" i="1"/>
  <c r="E40" i="1"/>
  <c r="D40" i="1"/>
  <c r="C40" i="1"/>
  <c r="H39" i="1"/>
  <c r="E39" i="1"/>
  <c r="D39" i="1"/>
  <c r="F38" i="1"/>
  <c r="E38" i="1"/>
  <c r="E37" i="1" s="1"/>
  <c r="C38" i="1"/>
  <c r="G38" i="1" s="1"/>
  <c r="H37" i="1"/>
  <c r="H36" i="1" s="1"/>
  <c r="F37" i="1"/>
  <c r="D37" i="1"/>
  <c r="F35" i="1"/>
  <c r="E35" i="1"/>
  <c r="D35" i="1"/>
  <c r="C35" i="1"/>
  <c r="F34" i="1"/>
  <c r="E34" i="1"/>
  <c r="D34" i="1"/>
  <c r="C34" i="1"/>
  <c r="G34" i="1" s="1"/>
  <c r="I34" i="1" s="1"/>
  <c r="F33" i="1"/>
  <c r="E33" i="1"/>
  <c r="D33" i="1"/>
  <c r="C33" i="1"/>
  <c r="F32" i="1"/>
  <c r="E32" i="1"/>
  <c r="D32" i="1"/>
  <c r="C32" i="1"/>
  <c r="F31" i="1"/>
  <c r="E31" i="1"/>
  <c r="C31" i="1"/>
  <c r="H30" i="1"/>
  <c r="F29" i="1"/>
  <c r="F28" i="1" s="1"/>
  <c r="E29" i="1"/>
  <c r="E28" i="1" s="1"/>
  <c r="D29" i="1"/>
  <c r="D28" i="1" s="1"/>
  <c r="C29" i="1"/>
  <c r="C28" i="1" s="1"/>
  <c r="H28" i="1"/>
  <c r="F27" i="1"/>
  <c r="E27" i="1"/>
  <c r="E26" i="1" s="1"/>
  <c r="D27" i="1"/>
  <c r="C27" i="1"/>
  <c r="H26" i="1"/>
  <c r="F26" i="1"/>
  <c r="C26" i="1"/>
  <c r="F25" i="1"/>
  <c r="C25" i="1"/>
  <c r="G25" i="1" s="1"/>
  <c r="I25" i="1" s="1"/>
  <c r="H24" i="1"/>
  <c r="F24" i="1"/>
  <c r="E24" i="1"/>
  <c r="D24" i="1"/>
  <c r="H23" i="1"/>
  <c r="H19" i="1" s="1"/>
  <c r="H18" i="1" s="1"/>
  <c r="F23" i="1"/>
  <c r="E23" i="1"/>
  <c r="D23" i="1"/>
  <c r="D19" i="1" s="1"/>
  <c r="C23" i="1"/>
  <c r="G22" i="1"/>
  <c r="I22" i="1" s="1"/>
  <c r="C21" i="1"/>
  <c r="G21" i="1" s="1"/>
  <c r="I21" i="1" s="1"/>
  <c r="F20" i="1"/>
  <c r="F19" i="1" s="1"/>
  <c r="E20" i="1"/>
  <c r="C20" i="1"/>
  <c r="F17" i="1"/>
  <c r="F16" i="1" s="1"/>
  <c r="E17" i="1"/>
  <c r="E16" i="1" s="1"/>
  <c r="D17" i="1"/>
  <c r="D16" i="1" s="1"/>
  <c r="C17" i="1"/>
  <c r="H16" i="1"/>
  <c r="C16" i="1"/>
  <c r="E15" i="1"/>
  <c r="D15" i="1"/>
  <c r="C15" i="1"/>
  <c r="G15" i="1" s="1"/>
  <c r="I15" i="1" s="1"/>
  <c r="F14" i="1"/>
  <c r="E14" i="1"/>
  <c r="D14" i="1"/>
  <c r="C14" i="1"/>
  <c r="F13" i="1"/>
  <c r="E13" i="1"/>
  <c r="D13" i="1"/>
  <c r="C13" i="1"/>
  <c r="F12" i="1"/>
  <c r="E12" i="1"/>
  <c r="D12" i="1"/>
  <c r="C12" i="1"/>
  <c r="E10" i="1"/>
  <c r="D10" i="1"/>
  <c r="C10" i="1"/>
  <c r="F9" i="1"/>
  <c r="E9" i="1"/>
  <c r="D9" i="1"/>
  <c r="C9" i="1"/>
  <c r="F8" i="1"/>
  <c r="E8" i="1"/>
  <c r="D8" i="1"/>
  <c r="C8" i="1"/>
  <c r="C7" i="1"/>
  <c r="F6" i="1"/>
  <c r="G6" i="1" s="1"/>
  <c r="E6" i="1"/>
  <c r="D6" i="1"/>
  <c r="E5" i="1"/>
  <c r="D5" i="1"/>
  <c r="C5" i="1"/>
  <c r="H4" i="1"/>
  <c r="D4" i="1"/>
  <c r="G125" i="2" l="1"/>
  <c r="G20" i="1"/>
  <c r="I20" i="1" s="1"/>
  <c r="G41" i="1"/>
  <c r="I41" i="1" s="1"/>
  <c r="G51" i="1"/>
  <c r="E7" i="1"/>
  <c r="G83" i="1"/>
  <c r="I83" i="1" s="1"/>
  <c r="F11" i="1"/>
  <c r="D30" i="1"/>
  <c r="G53" i="1"/>
  <c r="I53" i="1" s="1"/>
  <c r="D70" i="1"/>
  <c r="D69" i="1" s="1"/>
  <c r="D65" i="1" s="1"/>
  <c r="G80" i="1"/>
  <c r="I80" i="1" s="1"/>
  <c r="G5" i="1"/>
  <c r="I5" i="1" s="1"/>
  <c r="G43" i="1"/>
  <c r="I43" i="1" s="1"/>
  <c r="H65" i="1"/>
  <c r="C86" i="1"/>
  <c r="C85" i="1" s="1"/>
  <c r="D89" i="1"/>
  <c r="D86" i="1"/>
  <c r="D85" i="1" s="1"/>
  <c r="G35" i="1"/>
  <c r="I35" i="1" s="1"/>
  <c r="H44" i="1"/>
  <c r="D99" i="1"/>
  <c r="D95" i="1" s="1"/>
  <c r="D94" i="1" s="1"/>
  <c r="G46" i="1"/>
  <c r="F4" i="1"/>
  <c r="F3" i="1" s="1"/>
  <c r="G14" i="1"/>
  <c r="H14" i="1" s="1"/>
  <c r="H11" i="1" s="1"/>
  <c r="C39" i="1"/>
  <c r="D45" i="1"/>
  <c r="D44" i="1" s="1"/>
  <c r="D74" i="1"/>
  <c r="D73" i="1" s="1"/>
  <c r="G59" i="1"/>
  <c r="I59" i="1" s="1"/>
  <c r="G10" i="1"/>
  <c r="I10" i="1" s="1"/>
  <c r="E4" i="1"/>
  <c r="G107" i="1"/>
  <c r="I107" i="1" s="1"/>
  <c r="G52" i="1"/>
  <c r="I52" i="1" s="1"/>
  <c r="G40" i="1"/>
  <c r="I40" i="1" s="1"/>
  <c r="E45" i="1"/>
  <c r="E44" i="1" s="1"/>
  <c r="C96" i="1"/>
  <c r="G97" i="1"/>
  <c r="I97" i="1" s="1"/>
  <c r="F7" i="1"/>
  <c r="F30" i="1"/>
  <c r="F18" i="1" s="1"/>
  <c r="G27" i="1"/>
  <c r="I27" i="1" s="1"/>
  <c r="E70" i="1"/>
  <c r="E69" i="1" s="1"/>
  <c r="G55" i="1"/>
  <c r="I55" i="1" s="1"/>
  <c r="E30" i="1"/>
  <c r="G72" i="1"/>
  <c r="I72" i="1" s="1"/>
  <c r="G29" i="1"/>
  <c r="I29" i="1" s="1"/>
  <c r="G103" i="1"/>
  <c r="I103" i="1" s="1"/>
  <c r="E89" i="1"/>
  <c r="G13" i="1"/>
  <c r="I13" i="1" s="1"/>
  <c r="F86" i="1"/>
  <c r="F85" i="1" s="1"/>
  <c r="E19" i="1"/>
  <c r="E18" i="1" s="1"/>
  <c r="C11" i="1"/>
  <c r="G33" i="1"/>
  <c r="I33" i="1" s="1"/>
  <c r="G60" i="1"/>
  <c r="I60" i="1" s="1"/>
  <c r="D11" i="1"/>
  <c r="G17" i="1"/>
  <c r="I17" i="1" s="1"/>
  <c r="G56" i="1"/>
  <c r="I56" i="1" s="1"/>
  <c r="G81" i="1"/>
  <c r="I81" i="1" s="1"/>
  <c r="G87" i="1"/>
  <c r="I87" i="1" s="1"/>
  <c r="E11" i="1"/>
  <c r="E3" i="1" s="1"/>
  <c r="D50" i="1"/>
  <c r="E74" i="1"/>
  <c r="E73" i="1" s="1"/>
  <c r="E65" i="1" s="1"/>
  <c r="F74" i="1"/>
  <c r="F73" i="1" s="1"/>
  <c r="G82" i="1"/>
  <c r="I82" i="1" s="1"/>
  <c r="G100" i="1"/>
  <c r="G62" i="1"/>
  <c r="I62" i="1" s="1"/>
  <c r="G93" i="1"/>
  <c r="I93" i="1" s="1"/>
  <c r="G104" i="1"/>
  <c r="I104" i="1" s="1"/>
  <c r="G8" i="1"/>
  <c r="H8" i="1" s="1"/>
  <c r="H7" i="1" s="1"/>
  <c r="C19" i="1"/>
  <c r="E50" i="1"/>
  <c r="G57" i="1"/>
  <c r="I57" i="1" s="1"/>
  <c r="G76" i="1"/>
  <c r="I76" i="1" s="1"/>
  <c r="G105" i="1"/>
  <c r="I105" i="1" s="1"/>
  <c r="G77" i="1"/>
  <c r="I77" i="1" s="1"/>
  <c r="F50" i="1"/>
  <c r="F44" i="1" s="1"/>
  <c r="F99" i="1"/>
  <c r="F95" i="1" s="1"/>
  <c r="F94" i="1" s="1"/>
  <c r="G88" i="1"/>
  <c r="I88" i="1" s="1"/>
  <c r="G9" i="1"/>
  <c r="I9" i="1" s="1"/>
  <c r="C30" i="1"/>
  <c r="E99" i="1"/>
  <c r="E95" i="1" s="1"/>
  <c r="E94" i="1" s="1"/>
  <c r="G111" i="1"/>
  <c r="I111" i="1" s="1"/>
  <c r="G91" i="1"/>
  <c r="G90" i="1" s="1"/>
  <c r="D36" i="1"/>
  <c r="E36" i="1"/>
  <c r="I51" i="1"/>
  <c r="G7" i="1"/>
  <c r="I100" i="1"/>
  <c r="G63" i="1"/>
  <c r="I63" i="1" s="1"/>
  <c r="I64" i="1"/>
  <c r="I66" i="1"/>
  <c r="I46" i="1"/>
  <c r="G45" i="1"/>
  <c r="G37" i="1"/>
  <c r="I38" i="1"/>
  <c r="I6" i="1"/>
  <c r="G16" i="1"/>
  <c r="I16" i="1" s="1"/>
  <c r="F36" i="1"/>
  <c r="F89" i="1"/>
  <c r="H95" i="1"/>
  <c r="H94" i="1" s="1"/>
  <c r="C99" i="1"/>
  <c r="D110" i="1"/>
  <c r="D109" i="1" s="1"/>
  <c r="G23" i="1"/>
  <c r="I23" i="1" s="1"/>
  <c r="C42" i="1"/>
  <c r="G42" i="1" s="1"/>
  <c r="I42" i="1" s="1"/>
  <c r="C92" i="1"/>
  <c r="G101" i="1"/>
  <c r="I101" i="1" s="1"/>
  <c r="D7" i="1"/>
  <c r="D3" i="1" s="1"/>
  <c r="G49" i="1"/>
  <c r="D26" i="1"/>
  <c r="D18" i="1" s="1"/>
  <c r="G31" i="1"/>
  <c r="C45" i="1"/>
  <c r="C24" i="1"/>
  <c r="G24" i="1" s="1"/>
  <c r="I24" i="1" s="1"/>
  <c r="G75" i="1"/>
  <c r="C90" i="1"/>
  <c r="C50" i="1"/>
  <c r="C37" i="1"/>
  <c r="C63" i="1"/>
  <c r="I67" i="1"/>
  <c r="G12" i="1"/>
  <c r="G70" i="1"/>
  <c r="G32" i="1"/>
  <c r="I32" i="1" s="1"/>
  <c r="C71" i="1"/>
  <c r="C70" i="1" s="1"/>
  <c r="C69" i="1" s="1"/>
  <c r="F71" i="1"/>
  <c r="F70" i="1" s="1"/>
  <c r="F69" i="1" s="1"/>
  <c r="C74" i="1"/>
  <c r="C73" i="1" s="1"/>
  <c r="C4" i="1"/>
  <c r="G2" i="2" l="1"/>
  <c r="E112" i="1"/>
  <c r="G26" i="1"/>
  <c r="I26" i="1" s="1"/>
  <c r="G4" i="1"/>
  <c r="C18" i="1"/>
  <c r="I91" i="1"/>
  <c r="E2" i="1"/>
  <c r="F65" i="1"/>
  <c r="F112" i="1" s="1"/>
  <c r="G92" i="1"/>
  <c r="I92" i="1" s="1"/>
  <c r="C95" i="1"/>
  <c r="C94" i="1" s="1"/>
  <c r="G39" i="1"/>
  <c r="I39" i="1" s="1"/>
  <c r="F2" i="1"/>
  <c r="G50" i="1"/>
  <c r="I50" i="1" s="1"/>
  <c r="G110" i="1"/>
  <c r="G109" i="1" s="1"/>
  <c r="G96" i="1"/>
  <c r="I96" i="1" s="1"/>
  <c r="G28" i="1"/>
  <c r="I28" i="1" s="1"/>
  <c r="C3" i="1"/>
  <c r="G86" i="1"/>
  <c r="I37" i="1"/>
  <c r="G99" i="1"/>
  <c r="I99" i="1" s="1"/>
  <c r="C44" i="1"/>
  <c r="I14" i="1"/>
  <c r="I7" i="1"/>
  <c r="G30" i="1"/>
  <c r="I30" i="1" s="1"/>
  <c r="I31" i="1"/>
  <c r="H3" i="1"/>
  <c r="H2" i="1" s="1"/>
  <c r="I110" i="1"/>
  <c r="I8" i="1"/>
  <c r="G85" i="1"/>
  <c r="I85" i="1" s="1"/>
  <c r="I86" i="1"/>
  <c r="C89" i="1"/>
  <c r="C65" i="1" s="1"/>
  <c r="G69" i="1"/>
  <c r="I70" i="1"/>
  <c r="G48" i="1"/>
  <c r="I48" i="1" s="1"/>
  <c r="I49" i="1"/>
  <c r="I45" i="1"/>
  <c r="C36" i="1"/>
  <c r="G74" i="1"/>
  <c r="I75" i="1"/>
  <c r="G19" i="1"/>
  <c r="G11" i="1"/>
  <c r="I11" i="1" s="1"/>
  <c r="I12" i="1"/>
  <c r="D2" i="1"/>
  <c r="D112" i="1" s="1"/>
  <c r="G3" i="1"/>
  <c r="I4" i="1"/>
  <c r="I90" i="1"/>
  <c r="G36" i="1" l="1"/>
  <c r="I36" i="1" s="1"/>
  <c r="I109" i="1"/>
  <c r="C2" i="1"/>
  <c r="C112" i="1" s="1"/>
  <c r="G89" i="1"/>
  <c r="I89" i="1" s="1"/>
  <c r="I69" i="1"/>
  <c r="I3" i="1"/>
  <c r="G18" i="1"/>
  <c r="I18" i="1" s="1"/>
  <c r="I19" i="1"/>
  <c r="G73" i="1"/>
  <c r="I73" i="1" s="1"/>
  <c r="I74" i="1"/>
  <c r="G44" i="1"/>
  <c r="I44" i="1" s="1"/>
  <c r="G95" i="1"/>
  <c r="I95" i="1" l="1"/>
  <c r="G94" i="1"/>
  <c r="G2" i="1"/>
  <c r="I2" i="1" s="1"/>
  <c r="G65" i="1"/>
  <c r="I65" i="1" l="1"/>
  <c r="G112" i="1"/>
  <c r="G115" i="1" s="1"/>
  <c r="I94" i="1"/>
  <c r="I112" i="1" l="1"/>
  <c r="I115" i="1" s="1"/>
  <c r="F78" i="2"/>
  <c r="F77" i="2" s="1"/>
  <c r="F73" i="2" s="1"/>
  <c r="F125" i="2" s="1"/>
  <c r="E78" i="2"/>
  <c r="E77" i="2" s="1"/>
  <c r="E73" i="2" s="1"/>
  <c r="E125" i="2" s="1"/>
  <c r="C78" i="2"/>
  <c r="D78" i="2"/>
  <c r="D77" i="2" s="1"/>
  <c r="D73" i="2" s="1"/>
  <c r="D125" i="2" s="1"/>
  <c r="C77" i="2" l="1"/>
  <c r="C73" i="2" l="1"/>
  <c r="C12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Meissa NDOUR</author>
  </authors>
  <commentList>
    <comment ref="D67" authorId="0" shapeId="0" xr:uid="{3C3C890F-6295-43A2-93A4-56485CA90A2F}">
      <text>
        <r>
          <rPr>
            <b/>
            <sz val="9"/>
            <color indexed="81"/>
            <rFont val="Tahoma"/>
            <family val="2"/>
          </rPr>
          <t>LENOVO:</t>
        </r>
        <r>
          <rPr>
            <sz val="9"/>
            <color indexed="81"/>
            <rFont val="Tahoma"/>
            <family val="2"/>
          </rPr>
          <t xml:space="preserve">
+2*15*10000</t>
        </r>
      </text>
    </comment>
    <comment ref="D80" authorId="1" shapeId="0" xr:uid="{00000000-0006-0000-0100-000001000000}">
      <text>
        <r>
          <rPr>
            <b/>
            <sz val="11"/>
            <color indexed="81"/>
            <rFont val="Tahoma"/>
            <family val="2"/>
          </rPr>
          <t>Meissa NDOUR:</t>
        </r>
        <r>
          <rPr>
            <sz val="11"/>
            <color indexed="81"/>
            <rFont val="Tahoma"/>
            <family val="2"/>
          </rPr>
          <t xml:space="preserve">
1 mission de bench prévue au Maroc;
1 atelier de restitution.</t>
        </r>
      </text>
    </comment>
    <comment ref="D101" authorId="0" shapeId="0" xr:uid="{C3E55C1E-4A15-4E9E-9D9C-3B4D98E58797}">
      <text>
        <r>
          <rPr>
            <b/>
            <sz val="9"/>
            <color indexed="81"/>
            <rFont val="Tahoma"/>
            <family val="2"/>
          </rPr>
          <t>LENOVO:</t>
        </r>
        <r>
          <rPr>
            <sz val="9"/>
            <color indexed="81"/>
            <rFont val="Tahoma"/>
            <family val="2"/>
          </rPr>
          <t xml:space="preserve">
-2*15*10000</t>
        </r>
      </text>
    </comment>
  </commentList>
</comments>
</file>

<file path=xl/sharedStrings.xml><?xml version="1.0" encoding="utf-8"?>
<sst xmlns="http://schemas.openxmlformats.org/spreadsheetml/2006/main" count="485" uniqueCount="251">
  <si>
    <t>N°</t>
  </si>
  <si>
    <t>Intitulé du projet</t>
  </si>
  <si>
    <t>TRIM 1</t>
  </si>
  <si>
    <t>TRIM 2</t>
  </si>
  <si>
    <t>TRIM 3</t>
  </si>
  <si>
    <t>TRIM 4</t>
  </si>
  <si>
    <t>Budget total FCFA amendé (COPIL du 17 novembre 2025)</t>
  </si>
  <si>
    <t>Montant ajouté (+/-)</t>
  </si>
  <si>
    <t>Commentaires sur les changements</t>
  </si>
  <si>
    <t>1.</t>
  </si>
  <si>
    <t>Soutenir l'harmonisation et la production de statistiques de base en utilisant des méthodologies harmonisées</t>
  </si>
  <si>
    <t>1.2.</t>
  </si>
  <si>
    <t>Soutenir les statistiques démographiques et socio-économiques</t>
  </si>
  <si>
    <t>1.2.1.</t>
  </si>
  <si>
    <t>Recensements de la population</t>
  </si>
  <si>
    <t>1.2.1.2.</t>
  </si>
  <si>
    <t>RGPH-5_2023 (Remboursement préfinancement du RGPH-5 : Soummission 2)</t>
  </si>
  <si>
    <t>1.2.1.3.</t>
  </si>
  <si>
    <t>RGPH-5_2023 (Recrutement personnel études thématiques et analyse des données du RGPH-5)</t>
  </si>
  <si>
    <t>Même budget maintenu</t>
  </si>
  <si>
    <t>1.2.2.</t>
  </si>
  <si>
    <t>Enquêtes auprès des ménages et autres (enquêtes communautaires) pour l'analyse de la pauvreté</t>
  </si>
  <si>
    <t>1.2.2.1</t>
  </si>
  <si>
    <t>Troisième édition de l’EHCVM</t>
  </si>
  <si>
    <t>Ajout correspondant au gap entre le budget réajusté (1 901 134 700 FCFA) et le budget actuel (651 640 000 FCFA), après déduction des dépenses déjà effectuées (840 118 294 FCFA).</t>
  </si>
  <si>
    <t>1.2.2.2</t>
  </si>
  <si>
    <t>Elaboration des cartes de pauvreté + Indice de pauvreté multidimensionnel (IPM)</t>
  </si>
  <si>
    <t>1.2.2.3</t>
  </si>
  <si>
    <t xml:space="preserve">Enquête sur les conditions socio-économiques auprès des ménages (Sécurité alimentaire, Bien-être, Prix des denrées de première nécessité, Coûts de services de bases, Sécurité publique, Habitat, Transport) </t>
  </si>
  <si>
    <t>1.2.3.</t>
  </si>
  <si>
    <t>Système d'enquête sur la population active, y compris le secteur informel</t>
  </si>
  <si>
    <t>1.2.3.1</t>
  </si>
  <si>
    <t xml:space="preserve">ENES </t>
  </si>
  <si>
    <t>1.2.3.2</t>
  </si>
  <si>
    <t>Rénovation Enquête trimestrielle sur l'Emploi la Rémunération et les Heures de travail (EERH)</t>
  </si>
  <si>
    <t>1.2.3.3</t>
  </si>
  <si>
    <t>Enquête démographiques et de santé (EDS) Continue</t>
  </si>
  <si>
    <t>Ajout pour couvrir le gap entre le budget EDS et le budget provisionné.</t>
  </si>
  <si>
    <t>Enquête MICS</t>
  </si>
  <si>
    <t>1.2.4.</t>
  </si>
  <si>
    <t>Utiliser les techniques modernes de collecte de données (téléphone, big data, etc.) pour éclairer les politiques publiques</t>
  </si>
  <si>
    <t>1.2.4.1</t>
  </si>
  <si>
    <t>Mise en place d’un Data Innovation Lab pour le SSN</t>
  </si>
  <si>
    <t>1.3.</t>
  </si>
  <si>
    <t>Améliorer les statistiques économiques de base</t>
  </si>
  <si>
    <t>1.3.1.</t>
  </si>
  <si>
    <t>Amélioration du sous-système des statistiques des entreprises (registre des entreprises, recensements économiques)</t>
  </si>
  <si>
    <t>1.3.1.1</t>
  </si>
  <si>
    <t>Modernisation des répertoires (Reprise du passif du registre de commerce et du crédit mobilier et Dispositif permanent de mise à jour des répertoires)</t>
  </si>
  <si>
    <t>1.3.1.2</t>
  </si>
  <si>
    <t xml:space="preserve">Elaboration des modèles économique et juridique du NINEA </t>
  </si>
  <si>
    <t>1.3.1.3</t>
  </si>
  <si>
    <t>Rénovation de la Banque des Données Economiques et Financières (BDEF)</t>
  </si>
  <si>
    <t>1.3.1.4</t>
  </si>
  <si>
    <t>Recensement général des entreprises  (RGE)</t>
  </si>
  <si>
    <t>Ajout pour besoins en carburant (2027), location de véhicules et complément de 47 700 000 FCFA.</t>
  </si>
  <si>
    <t>1.3.2.</t>
  </si>
  <si>
    <t>Amélioration du sous-système des statistiques sur les entreprises (enquêtes annuelles auprès des entreprises)</t>
  </si>
  <si>
    <t>1.3.2.1</t>
  </si>
  <si>
    <t xml:space="preserve">Etude sur la démographie des entreprises </t>
  </si>
  <si>
    <t xml:space="preserve"> 1.3.5 </t>
  </si>
  <si>
    <t>Amélioration des comptes nationaux à l'aide du SCN 2008 (collecte de données et indices supplémentaires nécessaires pour les comptes nationaux)</t>
  </si>
  <si>
    <t>1.3.5.1</t>
  </si>
  <si>
    <t>Rénovation Indices des Prix de Production des Services (IPPS)</t>
  </si>
  <si>
    <t>1.3.6.</t>
  </si>
  <si>
    <t>Amélioration des comptes nationaux avec le SCN 2008 (rebasage : année de base, année courante, rétropolation, etc.)</t>
  </si>
  <si>
    <t>1.3.6.1</t>
  </si>
  <si>
    <t>Rénovation des Comptes nationaux du Sénégal 2027 - Rebasing (PRCN)</t>
  </si>
  <si>
    <t xml:space="preserve"> 1.3.7 </t>
  </si>
  <si>
    <t>Améliorer les comptes nationaux avec le SCN 2008 (comptes nationaux trimestriels, comptes nationaux régionaux, comptes satellites de l'éducation, de la santé, etc.)</t>
  </si>
  <si>
    <t>1.3.7.1</t>
  </si>
  <si>
    <t>Comptes économiques locaux (amélioration de l'estimation des comptes régionaux)</t>
  </si>
  <si>
    <t>1.3.7.2</t>
  </si>
  <si>
    <t>Etude monographique sur l'orpaillage (EMOR)</t>
  </si>
  <si>
    <t>1.3.7.3</t>
  </si>
  <si>
    <t>Comptes satellite de l'artisanat</t>
  </si>
  <si>
    <t>1.3.7.4</t>
  </si>
  <si>
    <t>Compte satellite de la pêche</t>
  </si>
  <si>
    <t>1.3.7.5</t>
  </si>
  <si>
    <t>Compte satellite de l'économie solidaire</t>
  </si>
  <si>
    <t>1.4.</t>
  </si>
  <si>
    <t>Soutenir les statistiques agricoles</t>
  </si>
  <si>
    <t>1.4.1.</t>
  </si>
  <si>
    <t>Recensements nationaux de l'agriculture et de l'élevage</t>
  </si>
  <si>
    <t>1.4.1.1</t>
  </si>
  <si>
    <t>Recensement national de l'agriculture et de l'horticulture (Amélioration du système d'information Agricoles)</t>
  </si>
  <si>
    <t>1.4.2.</t>
  </si>
  <si>
    <t>Système intégré d’enquêtes agricoles annuelles</t>
  </si>
  <si>
    <t>1.4.2.1</t>
  </si>
  <si>
    <t>Enquêtes nationales de structure (DHORT)</t>
  </si>
  <si>
    <t>1.4.2.2</t>
  </si>
  <si>
    <t>Enquêtes annuelles agricoles (EAA)</t>
  </si>
  <si>
    <t>1.4.3.</t>
  </si>
  <si>
    <t>Système de statistiques de l'élevage/de la pêche</t>
  </si>
  <si>
    <t>1.4.3.1</t>
  </si>
  <si>
    <t>Améliorer des statistiques, le suivi des indicateurs socio-économiques et environnementaux de la pêche continentale</t>
  </si>
  <si>
    <t>1.5.</t>
  </si>
  <si>
    <t>Statistiques sectorielles et géo spatiales de source administrative</t>
  </si>
  <si>
    <t>1.5.1.</t>
  </si>
  <si>
    <t>Amélioration du système de statistiques dans le secteur de l'éducation</t>
  </si>
  <si>
    <t>1.5.1.1</t>
  </si>
  <si>
    <t xml:space="preserve">Projet d’Amélioration du Système d’information Statistique (PASIS) de l’Éducation et de la Formation </t>
  </si>
  <si>
    <t>1.5.1.2</t>
  </si>
  <si>
    <t xml:space="preserve">Mise en place d’un système de numérisation, d’archivage des extrants, et de la digitalisation sécurisée des procédures d’organisation de l’examen du baccalauréat sénégalais </t>
  </si>
  <si>
    <t>1.5.2.</t>
  </si>
  <si>
    <t>Amélioration du système de statistiques dans le secteur de la santé</t>
  </si>
  <si>
    <t>1.5.2.1</t>
  </si>
  <si>
    <t>Projet de mise en place de registre électronique au niveau des centres et postes de santé du Sénégal</t>
  </si>
  <si>
    <t>1.5.3.</t>
  </si>
  <si>
    <t>Amélioration du système des autres statistiques administratives de base</t>
  </si>
  <si>
    <t>1.5.3.1</t>
  </si>
  <si>
    <t>Etablissement du Référentiel national de la Base de Données des statistiques des OCB du Sénégal</t>
  </si>
  <si>
    <t>1.5.3.2</t>
  </si>
  <si>
    <t>Amélioration de la production des statistiques de l'environnement et des ressources naturelles</t>
  </si>
  <si>
    <t>1.5.3.3</t>
  </si>
  <si>
    <t>Améliorer les statistiques du tourisme</t>
  </si>
  <si>
    <t>1.5.3.4</t>
  </si>
  <si>
    <t>Elaboration de la Banque de Données des Indicateurs sociaux (BADIS)</t>
  </si>
  <si>
    <t>1.5.3.5</t>
  </si>
  <si>
    <t>Amélioration du système d’information des faits et la production des statistiques d’état civil DSDS/ANEC</t>
  </si>
  <si>
    <t>1.5.3.6</t>
  </si>
  <si>
    <t>Amélioration du système d’information sur le Marché de l’Emploi</t>
  </si>
  <si>
    <t>1.5.3.7</t>
  </si>
  <si>
    <t>Projet de mise en place d'un portail web d'informations et de veille économique régionale (CSI)</t>
  </si>
  <si>
    <t>1.5.3.8</t>
  </si>
  <si>
    <t xml:space="preserve">Automatisation et dématérialisation des procédures de CN-ITIE </t>
  </si>
  <si>
    <t>1.5.3.9</t>
  </si>
  <si>
    <t>Amélioration du système d’information sur le statistiques du travail</t>
  </si>
  <si>
    <t>1.5.3.10</t>
  </si>
  <si>
    <t>Enquête sur le crédit et le financement de l'économie</t>
  </si>
  <si>
    <t>1.5.3.11</t>
  </si>
  <si>
    <t>Enquête sur la situation de référence de l'inclusion financière (ESRIF)</t>
  </si>
  <si>
    <t>1.5.3.12</t>
  </si>
  <si>
    <t>Amélioration du système d’information des faits et la production des statistiques d’état civil (DSDS)</t>
  </si>
  <si>
    <t>1.5.4.</t>
  </si>
  <si>
    <t>Renforcer la capacité de l'INS dans la production de statistiques de base au niveau infranational</t>
  </si>
  <si>
    <t>1.5.4.1</t>
  </si>
  <si>
    <t>Validation &amp; partage des Situations économiques nationales et régionales (SESN &amp; SESR)</t>
  </si>
  <si>
    <t>2.</t>
  </si>
  <si>
    <t>Soutenir les réformes institutionnelles, améliorer l'accès, la diffusion et l'utilisation des données et le capital humain</t>
  </si>
  <si>
    <t>2.1.</t>
  </si>
  <si>
    <t>Amélioration du plaidoyer, de la coordination, de l'accès et de la diffusion des données statistiques des organismes régionaux</t>
  </si>
  <si>
    <t>2.1.3.</t>
  </si>
  <si>
    <t>Développer une plateforme de données ouverte hebergeant des microdonnées harmonisées et anonymisées financées par le projet (système d'entrepôt de données) pour chaque organisme régional</t>
  </si>
  <si>
    <t>2.1.3.1</t>
  </si>
  <si>
    <t>Mise en place de système d'informations statistiques régionales (DAR) - ODP</t>
  </si>
  <si>
    <t>2.2.</t>
  </si>
  <si>
    <t>Soutenir les réformes institutionnelles pour une meilleure coordination des SSN et améliorer la pérennité du financement</t>
  </si>
  <si>
    <t>2.2.1.</t>
  </si>
  <si>
    <t>Réviser la loi statistique et les décrets d'application conformément aux évolutions récentes en matière d'accès aux données et améliorer la coordination des SSN</t>
  </si>
  <si>
    <t>2.2.1.1</t>
  </si>
  <si>
    <t>Réforme institutionnelle du SSN (Coordination Sous Comité et CTPS)</t>
  </si>
  <si>
    <t>2.2.1.2</t>
  </si>
  <si>
    <t>Etude pour une réforme institutionnelle de l’ENSAE</t>
  </si>
  <si>
    <t>2.4.</t>
  </si>
  <si>
    <t>Améliorer l'utilisation des données pour éclairer les politiques publiques</t>
  </si>
  <si>
    <t>2.4.1.</t>
  </si>
  <si>
    <t>Construire des outils de travail d'analyse pour éclairer les politiques (SAM, BOOST, Modèles économiques, etc.) en collaboration avec les directions économiques</t>
  </si>
  <si>
    <t>2.4.1.1</t>
  </si>
  <si>
    <t>Enquête nationale sur le Commerce International de Services (ENCIS)</t>
  </si>
  <si>
    <t>2.4.1.2</t>
  </si>
  <si>
    <t xml:space="preserve">Appropriation nationale de l'Outil de micro-simulation CEQ (Commitment to equity) </t>
  </si>
  <si>
    <t>2.4.1.3</t>
  </si>
  <si>
    <t>Réalisation d'études et mise en place d'outils d'analyse quantitative axé sur le thème : Agenda Sénégal 2050 et Secteur privé</t>
  </si>
  <si>
    <t>2.4.1.4</t>
  </si>
  <si>
    <t>Etude sur l’estimation des besoins projetés dans les secteurs stratégiques de développement</t>
  </si>
  <si>
    <t>2.4.1.5</t>
  </si>
  <si>
    <t>Adaptation de l'économie sénégalaise à l'exploitation des ressources pétrolières et gazières</t>
  </si>
  <si>
    <t>2.4.1.6</t>
  </si>
  <si>
    <t>Elaboration du rapport national de suivi du dividende démographique avec les données de l’EHCVM-II et l'élaboration des rapports régionaux</t>
  </si>
  <si>
    <t>2.4.1.7</t>
  </si>
  <si>
    <t>Elaboration bulletins semestriels des statistiques migratoires</t>
  </si>
  <si>
    <t>2.4.1.8</t>
  </si>
  <si>
    <t xml:space="preserve">Elaboration d’une Mercuriale des prix </t>
  </si>
  <si>
    <t>2.4.1.9</t>
  </si>
  <si>
    <t>Elaboration de recueils de définitions, concepts de nomenclatures classification et de méthodologie</t>
  </si>
  <si>
    <t>2.4.1.10</t>
  </si>
  <si>
    <t>Alignement de la Stratégie nationale de Développement de la Statistique (SNDS-IV) à la Stratégie nationale de Développement (SND) 2025 - 2029</t>
  </si>
  <si>
    <t>2.5.</t>
  </si>
  <si>
    <t>Enquêtes périodiques de satisfaction des utilisateurs de données</t>
  </si>
  <si>
    <t>2.5.1.</t>
  </si>
  <si>
    <t>Renforcer l'assurance qualité (assurance qualité, enquête de satisfaction annuelle)</t>
  </si>
  <si>
    <t>2.5.1.1</t>
  </si>
  <si>
    <t>Projet de mise en place d'un cadre national d'assurance qualité des données du SSN</t>
  </si>
  <si>
    <t>2.5.1.2</t>
  </si>
  <si>
    <t>Enquête de satisfaction annuelle via le Call center (suivi indicateurs PHASAOC)</t>
  </si>
  <si>
    <t>2.6.</t>
  </si>
  <si>
    <t>Valoriser le capital humain</t>
  </si>
  <si>
    <t>2.6.1.</t>
  </si>
  <si>
    <t>Formation académique formelle (bourses, enseignants internationaux, consultants, etc.)</t>
  </si>
  <si>
    <t>2.6.1.1</t>
  </si>
  <si>
    <t>Allocation bourses aux étudiants sénégalais inscrits en formation initiale (transformer cela en bourses pour IFORD, ENSEA, ISSEA)</t>
  </si>
  <si>
    <t>2.6.2.</t>
  </si>
  <si>
    <t>Formation en cours d'emploi et ateliers sur la production et l'analyse de données</t>
  </si>
  <si>
    <t>2.6.2.1</t>
  </si>
  <si>
    <t>Renforcement des capacités des acteurs du Système statistique national (SSN)</t>
  </si>
  <si>
    <t>3.</t>
  </si>
  <si>
    <t>Modernisation physique et statistique</t>
  </si>
  <si>
    <t>3.1.</t>
  </si>
  <si>
    <t>Réhabilitation des bâtiments, infrastructure physique pour l'ONS</t>
  </si>
  <si>
    <t>3.1.1.</t>
  </si>
  <si>
    <t>Réhabilitation des bâtiments, infrastructures physiques pour les écoles régionales/nationales de statistique</t>
  </si>
  <si>
    <t>3.1.1.1</t>
  </si>
  <si>
    <t xml:space="preserve">Projet de délocalisation ENSAE-Pierre-NDIAYE </t>
  </si>
  <si>
    <t>3.1.1.2</t>
  </si>
  <si>
    <t>Entretien du bâtiment du siège et Réaménagement et réallocation des anciens locaux de l'ENSAE</t>
  </si>
  <si>
    <t>Ajout de 50 000 000 FCFA.</t>
  </si>
  <si>
    <t>3.1.2.</t>
  </si>
  <si>
    <t>Infrastructure TIC et statistiques (logiciels, outils de statistiques géo spatiales, voitures, etc.) pour le SSN</t>
  </si>
  <si>
    <t>3.1.2.1</t>
  </si>
  <si>
    <t>Ressources Numériques pour le SSN (RNSSN)</t>
  </si>
  <si>
    <t>3.1.2.2</t>
  </si>
  <si>
    <t xml:space="preserve">Mise en œuvre du Schéma Directeur Informatique et Mise en place de la reprise d'activité </t>
  </si>
  <si>
    <t>Ajout de 100 000 000 FCFA.</t>
  </si>
  <si>
    <t>3.1.2.3</t>
  </si>
  <si>
    <t>Projet de digitalisation et d’archivage électronique (gestion électronique des documents/système d'archivage électronique (GED/SAE)</t>
  </si>
  <si>
    <t>3.1.2.4</t>
  </si>
  <si>
    <t>Mise en place d’une plateforme automatisée de suivi-évaluation de la politique publique (Goal Tracker)</t>
  </si>
  <si>
    <t>3.1.2.5</t>
  </si>
  <si>
    <t>Amélioration du dispositif de suivi des ODD et des différents agendas (DGPPE)</t>
  </si>
  <si>
    <t>3.1.2.6</t>
  </si>
  <si>
    <t>Projet d’appui à la Transformation digitale du MFPTSP</t>
  </si>
  <si>
    <t>3.1.2.7</t>
  </si>
  <si>
    <t>Mise en place plateforme de collecte, traitement et diffusion des données d’accidentologie au Sénégal pour un meilleur suivi de l’ODD 3.6 (BNSP)</t>
  </si>
  <si>
    <t>3.1.2.8</t>
  </si>
  <si>
    <t>Projet de mise en place d'un Système intégré de gestion des données au Ministère de la Justice (SIGDJ)</t>
  </si>
  <si>
    <t>3.1.2.9</t>
  </si>
  <si>
    <t>Acquisition de véhicules</t>
  </si>
  <si>
    <t>4.</t>
  </si>
  <si>
    <t>Gestion de projet et suivi et évaluation</t>
  </si>
  <si>
    <t>4.1.</t>
  </si>
  <si>
    <t>ONS pour la gestion du programme</t>
  </si>
  <si>
    <t>4.1.1</t>
  </si>
  <si>
    <t>Gestion programme</t>
  </si>
  <si>
    <t>Total</t>
  </si>
  <si>
    <t>Reliquat conformément à la LFR</t>
  </si>
  <si>
    <t>Budget LFI Révisé du 15/10/2025</t>
  </si>
  <si>
    <t>Budget LFR+RELIQUAT 2025</t>
  </si>
  <si>
    <t>Ajout d’une nouvelle ligne pour l’acquisition de véhicules d’un montant de 1 147 000 000 FCFA.</t>
  </si>
  <si>
    <t>Rajout pour l'achat de climatisation et du mobilier 4600000 frs</t>
  </si>
  <si>
    <t>deux salaires supplémentaires 1560000 frs</t>
  </si>
  <si>
    <t xml:space="preserve">rajout de 16840000 frs </t>
  </si>
  <si>
    <t xml:space="preserve"> rajout de 40000000 frs</t>
  </si>
  <si>
    <t>Budget total FCFA révisé mars 2026)</t>
  </si>
  <si>
    <t>Réduction du budget ENSAE de 3 210 765 755 FCFA.</t>
  </si>
  <si>
    <t>un rajout de 120000000 frs</t>
  </si>
  <si>
    <t>2.6.3.</t>
  </si>
  <si>
    <t>Personnel d'appui technique</t>
  </si>
  <si>
    <t>Experts chargés d'études, assistants informaticiens, infographe, webmaster, juriste, chargé de cours, archivistes, etc.</t>
  </si>
  <si>
    <t>2.6.3.1</t>
  </si>
  <si>
    <t>Budget total FCFA validé par le COPIL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</si>
</sst>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00\ _C_F_A_-;\-* #,##0.00\ _C_F_A_-;_-* &quot;-&quot;??\ _C_F_A_-;_-@_-"/>
    <numFmt numFmtId="166" formatCode="_-* #,##0\ _€_-;\-* #,##0\ _€_-;_-* &quot;-&quot;??\ _€_-;_-@_-"/>
    <numFmt numFmtId="167" formatCode="###,###,###,###,##0"/>
    <numFmt numFmtId="168" formatCode="0.000"/>
  </numFmts>
  <fonts count="24" x14ac:knownFonts="1">
    <font>
      <sz val="11"/>
      <color theme="1"/>
      <name val="Calibri"/>
      <family val="2"/>
      <scheme val="minor"/>
    </font>
    <font>
      <sz val="11"/>
      <color theme="1"/>
      <name val="Calibri"/>
      <family val="2"/>
      <scheme val="minor"/>
    </font>
    <font>
      <b/>
      <sz val="12"/>
      <color rgb="FF000000"/>
      <name val="Arial"/>
      <family val="2"/>
    </font>
    <font>
      <b/>
      <sz val="12"/>
      <name val="Arial"/>
      <family val="2"/>
    </font>
    <font>
      <sz val="12"/>
      <color rgb="FF000000"/>
      <name val="Arial"/>
      <family val="2"/>
    </font>
    <font>
      <b/>
      <i/>
      <sz val="12"/>
      <color rgb="FF000000"/>
      <name val="Arial"/>
      <family val="2"/>
    </font>
    <font>
      <b/>
      <i/>
      <sz val="12"/>
      <name val="Arial"/>
      <family val="2"/>
    </font>
    <font>
      <sz val="12"/>
      <color theme="1"/>
      <name val="Arial"/>
      <family val="2"/>
    </font>
    <font>
      <sz val="12"/>
      <name val="Arial"/>
      <family val="2"/>
    </font>
    <font>
      <b/>
      <sz val="12"/>
      <color theme="2" tint="-0.89999084444715716"/>
      <name val="Arial"/>
      <family val="2"/>
    </font>
    <font>
      <b/>
      <sz val="12"/>
      <color rgb="FF00B050"/>
      <name val="Arial"/>
      <family val="2"/>
    </font>
    <font>
      <sz val="7"/>
      <color rgb="FF000000"/>
      <name val="Arial"/>
      <family val="2"/>
    </font>
    <font>
      <i/>
      <sz val="12"/>
      <color theme="1"/>
      <name val="Arial"/>
      <family val="2"/>
    </font>
    <font>
      <b/>
      <sz val="12"/>
      <color rgb="FFFF0000"/>
      <name val="Arial"/>
      <family val="2"/>
    </font>
    <font>
      <b/>
      <sz val="12"/>
      <color theme="1"/>
      <name val="Arial"/>
      <family val="2"/>
    </font>
    <font>
      <i/>
      <sz val="12"/>
      <color rgb="FF000000"/>
      <name val="Arial"/>
      <family val="2"/>
    </font>
    <font>
      <sz val="12"/>
      <color rgb="FFFFFFFF"/>
      <name val="Arial"/>
      <family val="2"/>
    </font>
    <font>
      <b/>
      <sz val="12"/>
      <color rgb="FFFFFFFF"/>
      <name val="Arial"/>
      <family val="2"/>
    </font>
    <font>
      <b/>
      <sz val="12"/>
      <color theme="0"/>
      <name val="Arial"/>
      <family val="2"/>
    </font>
    <font>
      <sz val="12"/>
      <color theme="1"/>
      <name val="Calibri"/>
      <family val="2"/>
      <scheme val="minor"/>
    </font>
    <font>
      <b/>
      <sz val="11"/>
      <color indexed="81"/>
      <name val="Tahoma"/>
      <family val="2"/>
    </font>
    <font>
      <sz val="11"/>
      <color indexed="81"/>
      <name val="Tahoma"/>
      <family val="2"/>
    </font>
    <font>
      <sz val="9"/>
      <color indexed="81"/>
      <name val="Tahoma"/>
      <family val="2"/>
    </font>
    <font>
      <b/>
      <sz val="9"/>
      <color indexed="81"/>
      <name val="Tahoma"/>
      <family val="2"/>
    </font>
  </fonts>
  <fills count="20">
    <fill>
      <patternFill patternType="none"/>
    </fill>
    <fill>
      <patternFill patternType="gray125"/>
    </fill>
    <fill>
      <patternFill patternType="solid">
        <fgColor rgb="FFBFBFBF"/>
        <bgColor indexed="64"/>
      </patternFill>
    </fill>
    <fill>
      <patternFill patternType="solid">
        <fgColor rgb="FF00B050"/>
        <bgColor indexed="64"/>
      </patternFill>
    </fill>
    <fill>
      <patternFill patternType="solid">
        <fgColor rgb="FF757171"/>
        <bgColor indexed="64"/>
      </patternFill>
    </fill>
    <fill>
      <patternFill patternType="solid">
        <fgColor rgb="FFF8CBAD"/>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FFFF"/>
      </patternFill>
    </fill>
    <fill>
      <patternFill patternType="solid">
        <fgColor theme="0"/>
        <bgColor indexed="64"/>
      </patternFill>
    </fill>
    <fill>
      <patternFill patternType="solid">
        <fgColor rgb="FF000000"/>
        <bgColor indexed="64"/>
      </patternFill>
    </fill>
    <fill>
      <patternFill patternType="solid">
        <fgColor theme="4" tint="-0.499984740745262"/>
        <bgColor indexed="64"/>
      </patternFill>
    </fill>
    <fill>
      <patternFill patternType="solid">
        <fgColor rgb="FF002060"/>
        <bgColor indexed="64"/>
      </patternFill>
    </fill>
    <fill>
      <patternFill patternType="solid">
        <fgColor theme="1"/>
        <bgColor indexed="64"/>
      </patternFill>
    </fill>
    <fill>
      <patternFill patternType="solid">
        <fgColor theme="9" tint="-0.499984740745262"/>
        <bgColor indexed="64"/>
      </patternFill>
    </fill>
    <fill>
      <patternFill patternType="solid">
        <fgColor rgb="FF7030A0"/>
        <bgColor indexed="64"/>
      </patternFill>
    </fill>
    <fill>
      <patternFill patternType="solid">
        <fgColor theme="5" tint="-0.499984740745262"/>
        <bgColor indexed="64"/>
      </patternFill>
    </fill>
    <fill>
      <patternFill patternType="solid">
        <fgColor rgb="FF92D050"/>
        <bgColor indexed="64"/>
      </patternFill>
    </fill>
    <fill>
      <patternFill patternType="solid">
        <fgColor rgb="FFFF0000"/>
        <bgColor indexed="64"/>
      </patternFill>
    </fill>
  </fills>
  <borders count="14">
    <border>
      <left/>
      <right/>
      <top/>
      <bottom/>
      <diagonal/>
    </border>
    <border>
      <left style="medium">
        <color indexed="64"/>
      </left>
      <right/>
      <top style="medium">
        <color indexed="64"/>
      </top>
      <bottom style="medium">
        <color indexed="64"/>
      </bottom>
      <diagonal/>
    </border>
    <border>
      <left style="thick">
        <color auto="1"/>
      </left>
      <right style="thick">
        <color auto="1"/>
      </right>
      <top style="thick">
        <color auto="1"/>
      </top>
      <bottom style="thick">
        <color auto="1"/>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ck">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167" fontId="11" fillId="9" borderId="5">
      <alignment horizontal="right" vertical="center"/>
    </xf>
  </cellStyleXfs>
  <cellXfs count="145">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4" borderId="2" xfId="0" applyFont="1" applyFill="1" applyBorder="1" applyAlignment="1">
      <alignment vertical="center" wrapText="1"/>
    </xf>
    <xf numFmtId="166" fontId="3" fillId="4" borderId="2" xfId="2" applyNumberFormat="1" applyFont="1" applyFill="1" applyBorder="1" applyAlignment="1">
      <alignment horizontal="center" vertical="center" wrapText="1"/>
    </xf>
    <xf numFmtId="166" fontId="3" fillId="4" borderId="2" xfId="2" applyNumberFormat="1" applyFont="1" applyFill="1" applyBorder="1" applyAlignment="1">
      <alignment horizontal="left" vertical="center" wrapText="1"/>
    </xf>
    <xf numFmtId="0" fontId="4" fillId="5" borderId="3" xfId="0" applyFont="1" applyFill="1" applyBorder="1" applyAlignment="1">
      <alignment horizontal="center" vertical="center" wrapText="1"/>
    </xf>
    <xf numFmtId="0" fontId="5" fillId="5" borderId="2" xfId="0" applyFont="1" applyFill="1" applyBorder="1" applyAlignment="1">
      <alignment vertical="center" wrapText="1"/>
    </xf>
    <xf numFmtId="166" fontId="6" fillId="5" borderId="2" xfId="2" applyNumberFormat="1" applyFont="1" applyFill="1" applyBorder="1" applyAlignment="1">
      <alignment horizontal="center" vertical="center" wrapText="1"/>
    </xf>
    <xf numFmtId="166" fontId="6" fillId="5" borderId="2" xfId="2" applyNumberFormat="1" applyFont="1" applyFill="1" applyBorder="1" applyAlignment="1">
      <alignment horizontal="left" vertical="center" wrapText="1"/>
    </xf>
    <xf numFmtId="0" fontId="2" fillId="6" borderId="3" xfId="0" applyFont="1" applyFill="1" applyBorder="1" applyAlignment="1">
      <alignment horizontal="center" vertical="center" wrapText="1"/>
    </xf>
    <xf numFmtId="0" fontId="5" fillId="6" borderId="2" xfId="0" applyFont="1" applyFill="1" applyBorder="1" applyAlignment="1">
      <alignment vertical="center" wrapText="1"/>
    </xf>
    <xf numFmtId="3" fontId="3" fillId="6" borderId="2" xfId="0" applyNumberFormat="1" applyFont="1" applyFill="1" applyBorder="1" applyAlignment="1">
      <alignment horizontal="center" vertical="center" wrapText="1"/>
    </xf>
    <xf numFmtId="3" fontId="3" fillId="6" borderId="2" xfId="0" applyNumberFormat="1" applyFont="1" applyFill="1" applyBorder="1" applyAlignment="1">
      <alignment horizontal="left" vertical="center" wrapText="1"/>
    </xf>
    <xf numFmtId="0" fontId="4" fillId="7" borderId="3" xfId="0" applyFont="1" applyFill="1" applyBorder="1" applyAlignment="1">
      <alignment horizontal="center" vertical="center" wrapText="1"/>
    </xf>
    <xf numFmtId="0" fontId="7" fillId="0" borderId="2" xfId="0" applyFont="1" applyBorder="1" applyAlignment="1">
      <alignment vertical="center" wrapText="1"/>
    </xf>
    <xf numFmtId="3" fontId="4" fillId="0" borderId="2" xfId="0" applyNumberFormat="1" applyFont="1" applyBorder="1" applyAlignment="1">
      <alignment horizontal="center" vertical="center" wrapText="1"/>
    </xf>
    <xf numFmtId="3" fontId="8" fillId="0" borderId="2" xfId="0" applyNumberFormat="1" applyFont="1" applyBorder="1" applyAlignment="1">
      <alignment horizontal="center" vertical="center" wrapText="1"/>
    </xf>
    <xf numFmtId="3" fontId="4" fillId="0" borderId="2" xfId="0" applyNumberFormat="1" applyFont="1" applyBorder="1" applyAlignment="1">
      <alignment horizontal="left" vertical="center" wrapText="1"/>
    </xf>
    <xf numFmtId="0" fontId="7" fillId="8" borderId="2" xfId="0" applyFont="1" applyFill="1" applyBorder="1" applyAlignment="1">
      <alignment vertical="center" wrapText="1"/>
    </xf>
    <xf numFmtId="3" fontId="8" fillId="8" borderId="2" xfId="0" applyNumberFormat="1" applyFont="1" applyFill="1" applyBorder="1" applyAlignment="1">
      <alignment horizontal="center" vertical="center" wrapText="1"/>
    </xf>
    <xf numFmtId="3" fontId="4" fillId="8" borderId="2" xfId="0" applyNumberFormat="1" applyFont="1" applyFill="1" applyBorder="1" applyAlignment="1">
      <alignment horizontal="center" vertical="center" wrapText="1"/>
    </xf>
    <xf numFmtId="3" fontId="4" fillId="8" borderId="2" xfId="0" applyNumberFormat="1" applyFont="1" applyFill="1" applyBorder="1" applyAlignment="1">
      <alignment horizontal="left" vertical="center" wrapText="1"/>
    </xf>
    <xf numFmtId="0" fontId="9" fillId="8" borderId="2" xfId="0" applyFont="1" applyFill="1" applyBorder="1" applyAlignment="1">
      <alignment vertical="center" wrapText="1"/>
    </xf>
    <xf numFmtId="3" fontId="9" fillId="8" borderId="2" xfId="0" applyNumberFormat="1" applyFont="1" applyFill="1" applyBorder="1" applyAlignment="1">
      <alignment horizontal="center" vertical="center" wrapText="1"/>
    </xf>
    <xf numFmtId="3" fontId="10" fillId="8" borderId="2" xfId="0" applyNumberFormat="1" applyFont="1" applyFill="1" applyBorder="1" applyAlignment="1">
      <alignment horizontal="center" vertical="center" wrapText="1"/>
    </xf>
    <xf numFmtId="3" fontId="9" fillId="8" borderId="2" xfId="0" applyNumberFormat="1" applyFont="1" applyFill="1" applyBorder="1" applyAlignment="1">
      <alignment horizontal="left" vertical="center" wrapText="1"/>
    </xf>
    <xf numFmtId="0" fontId="4" fillId="7" borderId="2" xfId="0" applyFont="1" applyFill="1" applyBorder="1" applyAlignment="1">
      <alignment vertical="center" wrapText="1"/>
    </xf>
    <xf numFmtId="3" fontId="8" fillId="0" borderId="2" xfId="0" applyNumberFormat="1" applyFont="1" applyBorder="1" applyAlignment="1">
      <alignment horizontal="left" vertical="center" wrapText="1"/>
    </xf>
    <xf numFmtId="166" fontId="3" fillId="6" borderId="2" xfId="2" applyNumberFormat="1" applyFont="1" applyFill="1" applyBorder="1" applyAlignment="1">
      <alignment horizontal="center" vertical="center" wrapText="1"/>
    </xf>
    <xf numFmtId="166" fontId="3" fillId="6" borderId="2" xfId="2" applyNumberFormat="1" applyFont="1" applyFill="1" applyBorder="1" applyAlignment="1">
      <alignment horizontal="left" vertical="center" wrapText="1"/>
    </xf>
    <xf numFmtId="0" fontId="4" fillId="0" borderId="3" xfId="0" applyFont="1" applyBorder="1" applyAlignment="1">
      <alignment horizontal="center" vertical="center" wrapText="1"/>
    </xf>
    <xf numFmtId="0" fontId="2" fillId="8" borderId="2" xfId="0" applyFont="1" applyFill="1" applyBorder="1" applyAlignment="1">
      <alignment vertical="center" wrapText="1"/>
    </xf>
    <xf numFmtId="3" fontId="3" fillId="8" borderId="2" xfId="0" applyNumberFormat="1" applyFont="1" applyFill="1" applyBorder="1" applyAlignment="1">
      <alignment horizontal="center" vertical="center" wrapText="1"/>
    </xf>
    <xf numFmtId="3" fontId="2" fillId="8" borderId="2" xfId="0" applyNumberFormat="1" applyFont="1" applyFill="1" applyBorder="1" applyAlignment="1">
      <alignment horizontal="center" vertical="center" wrapText="1"/>
    </xf>
    <xf numFmtId="3" fontId="2" fillId="8" borderId="2" xfId="0" applyNumberFormat="1" applyFont="1" applyFill="1" applyBorder="1" applyAlignment="1">
      <alignment horizontal="left" vertical="center" wrapText="1"/>
    </xf>
    <xf numFmtId="0" fontId="4" fillId="0" borderId="2" xfId="0" applyFont="1" applyBorder="1" applyAlignment="1">
      <alignment vertical="center" wrapText="1"/>
    </xf>
    <xf numFmtId="166" fontId="6" fillId="6" borderId="2" xfId="2" applyNumberFormat="1" applyFont="1" applyFill="1" applyBorder="1" applyAlignment="1">
      <alignment horizontal="center" vertical="center" wrapText="1"/>
    </xf>
    <xf numFmtId="0" fontId="4" fillId="7" borderId="4" xfId="0" applyFont="1" applyFill="1" applyBorder="1" applyAlignment="1">
      <alignment vertical="center" wrapText="1"/>
    </xf>
    <xf numFmtId="167" fontId="4" fillId="0" borderId="2" xfId="3" applyFont="1" applyFill="1" applyBorder="1" applyAlignment="1">
      <alignment horizontal="center" vertical="center"/>
    </xf>
    <xf numFmtId="0" fontId="2" fillId="5" borderId="3" xfId="0" applyFont="1" applyFill="1" applyBorder="1" applyAlignment="1">
      <alignment horizontal="center" vertical="center" wrapText="1"/>
    </xf>
    <xf numFmtId="166" fontId="6" fillId="6" borderId="2" xfId="2" applyNumberFormat="1" applyFont="1" applyFill="1" applyBorder="1" applyAlignment="1">
      <alignment horizontal="left" vertical="center" wrapText="1"/>
    </xf>
    <xf numFmtId="0" fontId="4" fillId="10" borderId="3" xfId="0" applyFont="1" applyFill="1" applyBorder="1" applyAlignment="1">
      <alignment horizontal="center" vertical="center" wrapText="1"/>
    </xf>
    <xf numFmtId="0" fontId="4" fillId="10" borderId="2" xfId="0" applyFont="1" applyFill="1" applyBorder="1" applyAlignment="1">
      <alignment vertical="center" wrapText="1"/>
    </xf>
    <xf numFmtId="3" fontId="3" fillId="8" borderId="2" xfId="0" applyNumberFormat="1" applyFont="1" applyFill="1" applyBorder="1" applyAlignment="1">
      <alignment horizontal="left" vertical="center" wrapText="1"/>
    </xf>
    <xf numFmtId="0" fontId="7" fillId="0" borderId="3" xfId="0" applyFont="1" applyBorder="1" applyAlignment="1">
      <alignment horizontal="center" vertical="center" wrapText="1"/>
    </xf>
    <xf numFmtId="0" fontId="12" fillId="0" borderId="2" xfId="0" applyFont="1" applyBorder="1" applyAlignment="1">
      <alignment vertical="center" wrapText="1"/>
    </xf>
    <xf numFmtId="0" fontId="5" fillId="6" borderId="3" xfId="0" applyFont="1" applyFill="1" applyBorder="1" applyAlignment="1">
      <alignment horizontal="center" vertical="center" wrapText="1"/>
    </xf>
    <xf numFmtId="0" fontId="4" fillId="8" borderId="2" xfId="0" applyFont="1" applyFill="1" applyBorder="1" applyAlignment="1">
      <alignment vertical="center" wrapText="1"/>
    </xf>
    <xf numFmtId="0" fontId="5" fillId="5" borderId="3" xfId="0" applyFont="1" applyFill="1" applyBorder="1" applyAlignment="1">
      <alignment horizontal="center" vertical="center" wrapText="1"/>
    </xf>
    <xf numFmtId="3" fontId="8" fillId="10" borderId="2" xfId="0" applyNumberFormat="1" applyFont="1" applyFill="1" applyBorder="1" applyAlignment="1">
      <alignment horizontal="center" vertical="center" wrapText="1"/>
    </xf>
    <xf numFmtId="3" fontId="4" fillId="10" borderId="2" xfId="0" applyNumberFormat="1" applyFont="1" applyFill="1" applyBorder="1" applyAlignment="1">
      <alignment horizontal="center" vertical="center" wrapText="1"/>
    </xf>
    <xf numFmtId="3" fontId="4" fillId="10" borderId="2" xfId="0" applyNumberFormat="1" applyFont="1" applyFill="1" applyBorder="1" applyAlignment="1">
      <alignment horizontal="left" vertical="center" wrapText="1"/>
    </xf>
    <xf numFmtId="0" fontId="4" fillId="7" borderId="6" xfId="0" applyFont="1" applyFill="1" applyBorder="1" applyAlignment="1">
      <alignment vertical="center" wrapText="1"/>
    </xf>
    <xf numFmtId="0" fontId="7" fillId="0" borderId="6" xfId="0" applyFont="1" applyBorder="1" applyAlignment="1">
      <alignment vertical="center" wrapText="1"/>
    </xf>
    <xf numFmtId="3" fontId="4" fillId="7" borderId="2" xfId="0" applyNumberFormat="1" applyFont="1" applyFill="1" applyBorder="1" applyAlignment="1">
      <alignment horizontal="center" vertical="center" wrapText="1"/>
    </xf>
    <xf numFmtId="3" fontId="4" fillId="7" borderId="2" xfId="0" applyNumberFormat="1" applyFont="1" applyFill="1" applyBorder="1" applyAlignment="1">
      <alignment horizontal="left" vertical="center" wrapText="1"/>
    </xf>
    <xf numFmtId="167" fontId="4" fillId="9" borderId="2" xfId="3" applyFont="1" applyBorder="1" applyAlignment="1">
      <alignment horizontal="center" vertical="center"/>
    </xf>
    <xf numFmtId="0" fontId="7" fillId="10" borderId="3" xfId="0" applyFont="1" applyFill="1" applyBorder="1" applyAlignment="1">
      <alignment horizontal="center" vertical="center" wrapText="1"/>
    </xf>
    <xf numFmtId="0" fontId="7" fillId="10" borderId="2" xfId="0" applyFont="1" applyFill="1" applyBorder="1" applyAlignment="1">
      <alignment vertical="center" wrapText="1"/>
    </xf>
    <xf numFmtId="0" fontId="4" fillId="0" borderId="7" xfId="0" applyFont="1" applyBorder="1" applyAlignment="1">
      <alignment horizontal="center" vertical="center" wrapText="1"/>
    </xf>
    <xf numFmtId="0" fontId="4" fillId="0" borderId="2" xfId="0" applyFont="1" applyBorder="1" applyAlignment="1">
      <alignment horizontal="center" vertical="center" wrapText="1"/>
    </xf>
    <xf numFmtId="166" fontId="3" fillId="4" borderId="2" xfId="0" applyNumberFormat="1" applyFont="1" applyFill="1" applyBorder="1" applyAlignment="1">
      <alignment horizontal="center" vertical="center" wrapText="1"/>
    </xf>
    <xf numFmtId="166" fontId="3" fillId="4" borderId="2" xfId="0" applyNumberFormat="1" applyFont="1" applyFill="1" applyBorder="1" applyAlignment="1">
      <alignment horizontal="left" vertical="center" wrapText="1"/>
    </xf>
    <xf numFmtId="3" fontId="13" fillId="8" borderId="2" xfId="0" applyNumberFormat="1" applyFont="1" applyFill="1" applyBorder="1" applyAlignment="1">
      <alignment horizontal="center" vertical="center" wrapText="1"/>
    </xf>
    <xf numFmtId="0" fontId="14" fillId="8" borderId="2" xfId="0" applyFont="1" applyFill="1" applyBorder="1" applyAlignment="1">
      <alignment vertical="center" wrapText="1"/>
    </xf>
    <xf numFmtId="0" fontId="15" fillId="5" borderId="2" xfId="0" applyFont="1" applyFill="1" applyBorder="1" applyAlignment="1">
      <alignment vertical="center" wrapText="1"/>
    </xf>
    <xf numFmtId="167" fontId="4" fillId="8" borderId="2" xfId="3" applyFont="1" applyFill="1" applyBorder="1" applyAlignment="1">
      <alignment horizontal="center" vertical="center"/>
    </xf>
    <xf numFmtId="0" fontId="16" fillId="11" borderId="3" xfId="0" applyFont="1" applyFill="1" applyBorder="1" applyAlignment="1">
      <alignment horizontal="center" vertical="center" wrapText="1"/>
    </xf>
    <xf numFmtId="0" fontId="17" fillId="11" borderId="2" xfId="0" applyFont="1" applyFill="1" applyBorder="1" applyAlignment="1">
      <alignment vertical="center" wrapText="1"/>
    </xf>
    <xf numFmtId="166" fontId="18" fillId="11" borderId="2" xfId="2" applyNumberFormat="1" applyFont="1" applyFill="1" applyBorder="1" applyAlignment="1">
      <alignment horizontal="center" vertical="center" wrapText="1"/>
    </xf>
    <xf numFmtId="166" fontId="18" fillId="11" borderId="2" xfId="2" applyNumberFormat="1" applyFont="1" applyFill="1" applyBorder="1" applyAlignment="1">
      <alignment horizontal="left" vertical="center" wrapText="1"/>
    </xf>
    <xf numFmtId="0" fontId="8" fillId="0" borderId="0" xfId="0" applyFont="1"/>
    <xf numFmtId="0" fontId="7" fillId="0" borderId="0" xfId="0" applyFont="1"/>
    <xf numFmtId="0" fontId="7" fillId="0" borderId="0" xfId="0" applyFont="1" applyAlignment="1">
      <alignment horizontal="center" vertical="center"/>
    </xf>
    <xf numFmtId="166" fontId="7" fillId="0" borderId="0" xfId="0" applyNumberFormat="1" applyFont="1" applyAlignment="1">
      <alignment horizontal="center" vertical="center"/>
    </xf>
    <xf numFmtId="166" fontId="7" fillId="0" borderId="0" xfId="0" applyNumberFormat="1" applyFont="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xf>
    <xf numFmtId="166" fontId="18" fillId="11" borderId="8" xfId="2" applyNumberFormat="1" applyFont="1" applyFill="1" applyBorder="1" applyAlignment="1">
      <alignment horizontal="center" vertical="center" wrapText="1"/>
    </xf>
    <xf numFmtId="166" fontId="18" fillId="11" borderId="8" xfId="2" applyNumberFormat="1" applyFont="1" applyFill="1" applyBorder="1" applyAlignment="1">
      <alignment horizontal="left" vertical="center" wrapText="1"/>
    </xf>
    <xf numFmtId="3" fontId="8" fillId="0" borderId="0" xfId="0" applyNumberFormat="1" applyFont="1"/>
    <xf numFmtId="166" fontId="8" fillId="0" borderId="0" xfId="2" applyNumberFormat="1" applyFont="1" applyAlignment="1">
      <alignment horizontal="center" vertical="center"/>
    </xf>
    <xf numFmtId="166" fontId="8" fillId="0" borderId="0" xfId="2" applyNumberFormat="1"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166" fontId="19" fillId="0" borderId="0" xfId="1" applyNumberFormat="1" applyFont="1" applyAlignment="1">
      <alignment horizontal="center" vertical="center"/>
    </xf>
    <xf numFmtId="166" fontId="19" fillId="0" borderId="0" xfId="1" applyNumberFormat="1" applyFont="1" applyAlignment="1">
      <alignment horizontal="left" vertical="center"/>
    </xf>
    <xf numFmtId="168" fontId="0" fillId="0" borderId="0" xfId="0" applyNumberFormat="1" applyAlignment="1">
      <alignment horizontal="center" vertical="center"/>
    </xf>
    <xf numFmtId="168" fontId="0" fillId="0" borderId="0" xfId="0" applyNumberFormat="1" applyAlignment="1">
      <alignment horizontal="left" vertical="center"/>
    </xf>
    <xf numFmtId="3" fontId="8" fillId="8" borderId="2" xfId="0" applyNumberFormat="1" applyFont="1" applyFill="1" applyBorder="1" applyAlignment="1">
      <alignment horizontal="left" vertical="center" wrapText="1"/>
    </xf>
    <xf numFmtId="0" fontId="7" fillId="10" borderId="6" xfId="0" applyFont="1" applyFill="1" applyBorder="1" applyAlignment="1">
      <alignment vertical="center" wrapText="1"/>
    </xf>
    <xf numFmtId="3" fontId="0" fillId="0" borderId="0" xfId="0" applyNumberFormat="1" applyAlignment="1">
      <alignment horizontal="center" vertical="center"/>
    </xf>
    <xf numFmtId="0" fontId="18" fillId="12" borderId="3" xfId="0" applyFont="1" applyFill="1" applyBorder="1" applyAlignment="1">
      <alignment horizontal="center" vertical="center" wrapText="1"/>
    </xf>
    <xf numFmtId="0" fontId="18" fillId="12" borderId="2" xfId="0" applyFont="1" applyFill="1" applyBorder="1" applyAlignment="1">
      <alignment vertical="center" wrapText="1"/>
    </xf>
    <xf numFmtId="166" fontId="18" fillId="12" borderId="2" xfId="0" applyNumberFormat="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8" fillId="13" borderId="2" xfId="0" applyFont="1" applyFill="1" applyBorder="1" applyAlignment="1">
      <alignment vertical="center" wrapText="1"/>
    </xf>
    <xf numFmtId="0" fontId="18" fillId="13" borderId="2"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17" fillId="13" borderId="2" xfId="0" applyFont="1" applyFill="1" applyBorder="1" applyAlignment="1">
      <alignment vertical="center" wrapText="1"/>
    </xf>
    <xf numFmtId="166" fontId="18" fillId="13" borderId="2" xfId="2" applyNumberFormat="1" applyFont="1" applyFill="1" applyBorder="1" applyAlignment="1">
      <alignment horizontal="center" vertical="center" wrapText="1"/>
    </xf>
    <xf numFmtId="166" fontId="8" fillId="0" borderId="0" xfId="2" applyNumberFormat="1" applyFont="1" applyBorder="1" applyAlignment="1">
      <alignment horizontal="left" vertical="center" indent="12"/>
    </xf>
    <xf numFmtId="0" fontId="8" fillId="0" borderId="0" xfId="0" applyFont="1" applyAlignment="1">
      <alignment horizontal="left" vertical="center" indent="12"/>
    </xf>
    <xf numFmtId="0" fontId="4" fillId="14" borderId="3" xfId="0" applyFont="1" applyFill="1" applyBorder="1" applyAlignment="1">
      <alignment horizontal="center" vertical="center" wrapText="1"/>
    </xf>
    <xf numFmtId="0" fontId="4" fillId="14" borderId="2" xfId="0" applyFont="1" applyFill="1" applyBorder="1" applyAlignment="1">
      <alignment vertical="center" wrapText="1"/>
    </xf>
    <xf numFmtId="3" fontId="8" fillId="14" borderId="2" xfId="0" applyNumberFormat="1" applyFont="1" applyFill="1" applyBorder="1" applyAlignment="1">
      <alignment horizontal="center" vertical="center" wrapText="1"/>
    </xf>
    <xf numFmtId="3" fontId="4" fillId="14" borderId="2" xfId="0" applyNumberFormat="1" applyFont="1" applyFill="1" applyBorder="1" applyAlignment="1">
      <alignment horizontal="center" vertical="center" wrapText="1"/>
    </xf>
    <xf numFmtId="166" fontId="18" fillId="13" borderId="11" xfId="2" applyNumberFormat="1" applyFont="1" applyFill="1" applyBorder="1" applyAlignment="1">
      <alignment vertical="center" wrapText="1"/>
    </xf>
    <xf numFmtId="166" fontId="18" fillId="13" borderId="6" xfId="2" applyNumberFormat="1" applyFont="1" applyFill="1" applyBorder="1" applyAlignment="1">
      <alignment vertical="center" wrapText="1"/>
    </xf>
    <xf numFmtId="166" fontId="18" fillId="13" borderId="1" xfId="2" applyNumberFormat="1" applyFont="1" applyFill="1" applyBorder="1" applyAlignment="1">
      <alignment vertical="center" wrapText="1"/>
    </xf>
    <xf numFmtId="166" fontId="18" fillId="13" borderId="3" xfId="2" applyNumberFormat="1" applyFont="1" applyFill="1" applyBorder="1" applyAlignment="1">
      <alignment vertical="center" wrapText="1"/>
    </xf>
    <xf numFmtId="0" fontId="8" fillId="0" borderId="12" xfId="0" applyFont="1" applyBorder="1" applyAlignment="1">
      <alignment horizontal="left" vertical="center" indent="1"/>
    </xf>
    <xf numFmtId="0" fontId="8" fillId="0" borderId="0" xfId="0" applyFont="1" applyAlignment="1">
      <alignment horizontal="left" vertical="center" indent="1"/>
    </xf>
    <xf numFmtId="0" fontId="18" fillId="15" borderId="3" xfId="0" applyFont="1" applyFill="1" applyBorder="1" applyAlignment="1">
      <alignment horizontal="center" vertical="center" wrapText="1"/>
    </xf>
    <xf numFmtId="0" fontId="18" fillId="15" borderId="2" xfId="0" applyFont="1" applyFill="1" applyBorder="1" applyAlignment="1">
      <alignment vertical="center" wrapText="1"/>
    </xf>
    <xf numFmtId="166" fontId="18" fillId="15" borderId="2" xfId="2" applyNumberFormat="1"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8" fillId="16" borderId="2" xfId="0" applyFont="1" applyFill="1" applyBorder="1" applyAlignment="1">
      <alignment vertical="center" wrapText="1"/>
    </xf>
    <xf numFmtId="166" fontId="18" fillId="16" borderId="2" xfId="2" applyNumberFormat="1" applyFont="1" applyFill="1" applyBorder="1" applyAlignment="1">
      <alignment horizontal="center" vertical="center" wrapText="1"/>
    </xf>
    <xf numFmtId="0" fontId="7" fillId="14" borderId="2" xfId="0" applyFont="1" applyFill="1" applyBorder="1" applyAlignment="1">
      <alignment vertical="center" wrapText="1"/>
    </xf>
    <xf numFmtId="0" fontId="0" fillId="0" borderId="4" xfId="0" applyBorder="1"/>
    <xf numFmtId="0" fontId="0" fillId="0" borderId="12" xfId="0" applyBorder="1"/>
    <xf numFmtId="0" fontId="0" fillId="0" borderId="3" xfId="0" applyBorder="1"/>
    <xf numFmtId="0" fontId="18" fillId="17" borderId="3" xfId="0" applyFont="1" applyFill="1" applyBorder="1" applyAlignment="1">
      <alignment horizontal="center" vertical="center" wrapText="1"/>
    </xf>
    <xf numFmtId="0" fontId="18" fillId="17" borderId="2" xfId="0" applyFont="1" applyFill="1" applyBorder="1" applyAlignment="1">
      <alignment vertical="center" wrapText="1"/>
    </xf>
    <xf numFmtId="166" fontId="18" fillId="17" borderId="2" xfId="2" applyNumberFormat="1" applyFont="1" applyFill="1" applyBorder="1" applyAlignment="1">
      <alignment horizontal="center" vertical="center" wrapText="1"/>
    </xf>
    <xf numFmtId="0" fontId="4" fillId="8" borderId="6" xfId="0" applyFont="1" applyFill="1" applyBorder="1" applyAlignment="1">
      <alignment vertical="center" wrapText="1"/>
    </xf>
    <xf numFmtId="3" fontId="8" fillId="18" borderId="2" xfId="0" applyNumberFormat="1" applyFont="1" applyFill="1" applyBorder="1" applyAlignment="1">
      <alignment horizontal="center" vertical="center" wrapText="1"/>
    </xf>
    <xf numFmtId="0" fontId="4" fillId="8" borderId="3" xfId="0" applyFont="1" applyFill="1" applyBorder="1" applyAlignment="1">
      <alignment horizontal="center" vertical="center" wrapText="1"/>
    </xf>
    <xf numFmtId="3" fontId="8" fillId="19" borderId="2" xfId="0" applyNumberFormat="1" applyFont="1" applyFill="1" applyBorder="1" applyAlignment="1">
      <alignment horizontal="center" vertical="center" wrapText="1"/>
    </xf>
    <xf numFmtId="0" fontId="18" fillId="13" borderId="1" xfId="0" applyFont="1" applyFill="1" applyBorder="1" applyAlignment="1">
      <alignment horizontal="left" vertical="center" wrapText="1" indent="1"/>
    </xf>
    <xf numFmtId="0" fontId="18" fillId="13" borderId="10" xfId="0" applyFont="1" applyFill="1" applyBorder="1" applyAlignment="1">
      <alignment horizontal="left" vertical="center" wrapText="1" indent="1"/>
    </xf>
    <xf numFmtId="0" fontId="18" fillId="13" borderId="3" xfId="0" applyFont="1" applyFill="1" applyBorder="1" applyAlignment="1">
      <alignment horizontal="left" vertical="center" wrapText="1" indent="1"/>
    </xf>
    <xf numFmtId="0" fontId="18" fillId="13" borderId="8" xfId="0" applyFont="1" applyFill="1" applyBorder="1" applyAlignment="1">
      <alignment horizontal="left" vertical="center" wrapText="1" indent="1"/>
    </xf>
    <xf numFmtId="0" fontId="0" fillId="0" borderId="9" xfId="0" applyBorder="1" applyAlignment="1">
      <alignment horizontal="center"/>
    </xf>
    <xf numFmtId="0" fontId="0" fillId="0" borderId="13" xfId="0" applyBorder="1" applyAlignment="1">
      <alignment horizontal="center"/>
    </xf>
    <xf numFmtId="0" fontId="0" fillId="0" borderId="8" xfId="0" applyBorder="1" applyAlignment="1">
      <alignment horizontal="center"/>
    </xf>
    <xf numFmtId="0" fontId="17" fillId="11" borderId="6" xfId="0" applyFont="1" applyFill="1" applyBorder="1" applyAlignment="1">
      <alignment horizontal="center" vertical="center" wrapText="1"/>
    </xf>
    <xf numFmtId="0" fontId="17" fillId="11" borderId="8" xfId="0" applyFont="1" applyFill="1" applyBorder="1" applyAlignment="1">
      <alignment horizontal="center" vertical="center" wrapText="1"/>
    </xf>
  </cellXfs>
  <cellStyles count="4">
    <cellStyle name="Milliers" xfId="1" builtinId="3"/>
    <cellStyle name="Milliers 2" xfId="2" xr:uid="{00000000-0005-0000-0000-000001000000}"/>
    <cellStyle name="Normal" xfId="0" builtinId="0"/>
    <cellStyle name="stNumber"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1</xdr:row>
          <xdr:rowOff>30480</xdr:rowOff>
        </xdr:from>
        <xdr:to>
          <xdr:col>1</xdr:col>
          <xdr:colOff>228600</xdr:colOff>
          <xdr:row>5</xdr:row>
          <xdr:rowOff>160020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xdr:col>
      <xdr:colOff>5360583</xdr:colOff>
      <xdr:row>1</xdr:row>
      <xdr:rowOff>26581</xdr:rowOff>
    </xdr:from>
    <xdr:to>
      <xdr:col>1</xdr:col>
      <xdr:colOff>6343310</xdr:colOff>
      <xdr:row>5</xdr:row>
      <xdr:rowOff>168349</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441" b="12313"/>
        <a:stretch>
          <a:fillRect/>
        </a:stretch>
      </xdr:blipFill>
      <xdr:spPr>
        <a:xfrm>
          <a:off x="5971955" y="221511"/>
          <a:ext cx="982727" cy="691117"/>
        </a:xfrm>
        <a:prstGeom prst="rect">
          <a:avLst/>
        </a:prstGeom>
      </xdr:spPr>
    </xdr:pic>
    <xdr:clientData/>
  </xdr:twoCellAnchor>
  <xdr:twoCellAnchor>
    <xdr:from>
      <xdr:col>1</xdr:col>
      <xdr:colOff>549349</xdr:colOff>
      <xdr:row>1</xdr:row>
      <xdr:rowOff>44303</xdr:rowOff>
    </xdr:from>
    <xdr:to>
      <xdr:col>1</xdr:col>
      <xdr:colOff>5351721</xdr:colOff>
      <xdr:row>5</xdr:row>
      <xdr:rowOff>150628</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1160721" y="239233"/>
          <a:ext cx="4802372" cy="6556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b="1" i="0">
              <a:solidFill>
                <a:sysClr val="windowText" lastClr="000000"/>
              </a:solidFill>
              <a:effectLst/>
              <a:latin typeface="Arial" panose="020B0604020202020204" pitchFamily="34" charset="0"/>
              <a:cs typeface="Arial" panose="020B0604020202020204" pitchFamily="34" charset="0"/>
            </a:rPr>
            <a:t>PHASAOC</a:t>
          </a:r>
        </a:p>
        <a:p>
          <a:pPr algn="ctr"/>
          <a:r>
            <a:rPr lang="fr-FR" sz="1200" b="0" i="0">
              <a:solidFill>
                <a:sysClr val="windowText" lastClr="000000"/>
              </a:solidFill>
              <a:effectLst/>
              <a:latin typeface="Arial" panose="020B0604020202020204" pitchFamily="34" charset="0"/>
              <a:cs typeface="Arial" panose="020B0604020202020204" pitchFamily="34" charset="0"/>
            </a:rPr>
            <a:t>Projet d'harmonisation et d'amélioration des statistiques en Afrique de l'Ouest et du Centre</a:t>
          </a:r>
          <a:endParaRPr lang="fr-FR" sz="12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view="pageBreakPreview" zoomScale="80" zoomScaleNormal="70" zoomScaleSheetLayoutView="80" workbookViewId="0">
      <pane xSplit="2" ySplit="1" topLeftCell="C108" activePane="bottomRight" state="frozen"/>
      <selection pane="topRight" activeCell="C1" sqref="C1"/>
      <selection pane="bottomLeft" activeCell="A2" sqref="A2"/>
      <selection pane="bottomRight" activeCell="G112" sqref="G112"/>
    </sheetView>
  </sheetViews>
  <sheetFormatPr baseColWidth="10" defaultRowHeight="14.4" x14ac:dyDescent="0.3"/>
  <cols>
    <col min="1" max="1" width="8.88671875" bestFit="1" customWidth="1"/>
    <col min="2" max="2" width="47.33203125" customWidth="1"/>
    <col min="3" max="3" width="16.77734375" style="89" customWidth="1"/>
    <col min="4" max="4" width="17.21875" style="89" customWidth="1"/>
    <col min="5" max="5" width="18.5546875" style="89" customWidth="1"/>
    <col min="6" max="6" width="17.21875" style="89" customWidth="1"/>
    <col min="7" max="7" width="22.109375" style="89" customWidth="1"/>
    <col min="8" max="8" width="22.88671875" style="89" customWidth="1"/>
    <col min="9" max="9" width="19.88671875" style="89" customWidth="1"/>
    <col min="10" max="10" width="16.77734375" style="90" customWidth="1"/>
  </cols>
  <sheetData>
    <row r="1" spans="1:12" ht="48" thickTop="1" thickBot="1" x14ac:dyDescent="0.35">
      <c r="A1" s="1" t="s">
        <v>0</v>
      </c>
      <c r="B1" s="2" t="s">
        <v>1</v>
      </c>
      <c r="C1" s="3" t="s">
        <v>2</v>
      </c>
      <c r="D1" s="3" t="s">
        <v>3</v>
      </c>
      <c r="E1" s="3" t="s">
        <v>4</v>
      </c>
      <c r="F1" s="3" t="s">
        <v>5</v>
      </c>
      <c r="G1" s="4" t="s">
        <v>6</v>
      </c>
      <c r="H1" s="4" t="s">
        <v>7</v>
      </c>
      <c r="I1" s="5" t="s">
        <v>243</v>
      </c>
      <c r="J1" s="6" t="s">
        <v>8</v>
      </c>
    </row>
    <row r="2" spans="1:12" ht="48" thickTop="1" thickBot="1" x14ac:dyDescent="0.35">
      <c r="A2" s="7" t="s">
        <v>9</v>
      </c>
      <c r="B2" s="8" t="s">
        <v>10</v>
      </c>
      <c r="C2" s="9">
        <f t="shared" ref="C2:H2" si="0">C3+C18+C36+C44</f>
        <v>1271793480.125</v>
      </c>
      <c r="D2" s="9">
        <f t="shared" si="0"/>
        <v>1987066438.125</v>
      </c>
      <c r="E2" s="9">
        <f t="shared" si="0"/>
        <v>796495820.95833325</v>
      </c>
      <c r="F2" s="9">
        <f t="shared" si="0"/>
        <v>610495870.45833325</v>
      </c>
      <c r="G2" s="9">
        <f t="shared" si="0"/>
        <v>4604411609.666666</v>
      </c>
      <c r="H2" s="9">
        <f t="shared" si="0"/>
        <v>1793765755.333333</v>
      </c>
      <c r="I2" s="9">
        <f>G2+H2</f>
        <v>6398177364.999999</v>
      </c>
      <c r="J2" s="10"/>
    </row>
    <row r="3" spans="1:12" ht="32.4" thickTop="1" thickBot="1" x14ac:dyDescent="0.35">
      <c r="A3" s="11" t="s">
        <v>11</v>
      </c>
      <c r="B3" s="12" t="s">
        <v>12</v>
      </c>
      <c r="C3" s="13">
        <f t="shared" ref="C3:H3" si="1">C4+C7+C11+C16</f>
        <v>562429901</v>
      </c>
      <c r="D3" s="13">
        <f t="shared" si="1"/>
        <v>646689901</v>
      </c>
      <c r="E3" s="13">
        <f t="shared" si="1"/>
        <v>299058333.33333331</v>
      </c>
      <c r="F3" s="13">
        <f t="shared" si="1"/>
        <v>187058333.33333331</v>
      </c>
      <c r="G3" s="13">
        <f t="shared" si="1"/>
        <v>1695236468.6666665</v>
      </c>
      <c r="H3" s="13">
        <f t="shared" si="1"/>
        <v>1128625755.333333</v>
      </c>
      <c r="I3" s="13">
        <f t="shared" ref="I3:I66" si="2">G3+H3</f>
        <v>2823862223.9999995</v>
      </c>
      <c r="J3" s="14"/>
    </row>
    <row r="4" spans="1:12" ht="16.8" thickTop="1" thickBot="1" x14ac:dyDescent="0.35">
      <c r="A4" s="15" t="s">
        <v>13</v>
      </c>
      <c r="B4" s="16" t="s">
        <v>14</v>
      </c>
      <c r="C4" s="17">
        <f t="shared" ref="C4:H4" si="3">C6+C5</f>
        <v>4680000</v>
      </c>
      <c r="D4" s="17">
        <f t="shared" si="3"/>
        <v>0</v>
      </c>
      <c r="E4" s="17">
        <f t="shared" si="3"/>
        <v>0</v>
      </c>
      <c r="F4" s="17">
        <f t="shared" si="3"/>
        <v>0</v>
      </c>
      <c r="G4" s="17">
        <f t="shared" si="3"/>
        <v>4680000</v>
      </c>
      <c r="H4" s="17">
        <f t="shared" si="3"/>
        <v>1560000</v>
      </c>
      <c r="I4" s="17">
        <f t="shared" si="2"/>
        <v>6240000</v>
      </c>
      <c r="J4" s="18"/>
    </row>
    <row r="5" spans="1:12" ht="31.2" thickTop="1" thickBot="1" x14ac:dyDescent="0.35">
      <c r="A5" s="19" t="s">
        <v>15</v>
      </c>
      <c r="B5" s="20" t="s">
        <v>16</v>
      </c>
      <c r="C5" s="21">
        <f>0</f>
        <v>0</v>
      </c>
      <c r="D5" s="22">
        <f>0</f>
        <v>0</v>
      </c>
      <c r="E5" s="21">
        <f>0</f>
        <v>0</v>
      </c>
      <c r="F5" s="22">
        <v>0</v>
      </c>
      <c r="G5" s="21">
        <f>SUM(C5:F5)</f>
        <v>0</v>
      </c>
      <c r="H5" s="21"/>
      <c r="I5" s="21">
        <f t="shared" si="2"/>
        <v>0</v>
      </c>
      <c r="J5" s="23"/>
      <c r="L5">
        <f>(1250000000-1147000000)-1560000-40000000-4600000-40000000-16840000</f>
        <v>0</v>
      </c>
    </row>
    <row r="6" spans="1:12" ht="46.2" thickTop="1" thickBot="1" x14ac:dyDescent="0.35">
      <c r="A6" s="19" t="s">
        <v>17</v>
      </c>
      <c r="B6" s="24" t="s">
        <v>18</v>
      </c>
      <c r="C6" s="25">
        <f>(18000000*0)+(780000*2*2)+ 1560000</f>
        <v>4680000</v>
      </c>
      <c r="D6" s="25">
        <f>0*(18000000+6000000)</f>
        <v>0</v>
      </c>
      <c r="E6" s="25">
        <f>0*18000000</f>
        <v>0</v>
      </c>
      <c r="F6" s="25">
        <f>0*18000000</f>
        <v>0</v>
      </c>
      <c r="G6" s="26">
        <f>SUM(C6:F6)</f>
        <v>4680000</v>
      </c>
      <c r="H6" s="30">
        <v>1560000</v>
      </c>
      <c r="I6" s="26">
        <f t="shared" si="2"/>
        <v>6240000</v>
      </c>
      <c r="J6" s="27" t="s">
        <v>240</v>
      </c>
    </row>
    <row r="7" spans="1:12" ht="48" thickTop="1" thickBot="1" x14ac:dyDescent="0.35">
      <c r="A7" s="15" t="s">
        <v>20</v>
      </c>
      <c r="B7" s="16" t="s">
        <v>21</v>
      </c>
      <c r="C7" s="17">
        <f>SUM(C8:C10)</f>
        <v>145850000</v>
      </c>
      <c r="D7" s="17">
        <f t="shared" ref="D7:F7" si="4">SUM(D8:D10)</f>
        <v>355790000</v>
      </c>
      <c r="E7" s="17">
        <f t="shared" si="4"/>
        <v>100000000</v>
      </c>
      <c r="F7" s="17">
        <f t="shared" si="4"/>
        <v>50000000</v>
      </c>
      <c r="G7" s="17">
        <f>SUM(G8:G10)</f>
        <v>651640000</v>
      </c>
      <c r="H7" s="17">
        <f>SUM(H8:H10)</f>
        <v>409376405.33333302</v>
      </c>
      <c r="I7" s="17">
        <f t="shared" si="2"/>
        <v>1061016405.333333</v>
      </c>
      <c r="J7" s="18"/>
    </row>
    <row r="8" spans="1:12" ht="235.2" thickTop="1" thickBot="1" x14ac:dyDescent="0.35">
      <c r="A8" s="19" t="s">
        <v>22</v>
      </c>
      <c r="B8" s="28" t="s">
        <v>23</v>
      </c>
      <c r="C8" s="29">
        <f>(95850000-50000000)+100000000</f>
        <v>145850000</v>
      </c>
      <c r="D8" s="29">
        <f>(255790000)+100000000</f>
        <v>355790000</v>
      </c>
      <c r="E8" s="29">
        <f>(50000000)+50000000</f>
        <v>100000000</v>
      </c>
      <c r="F8" s="29">
        <f>0+(50000000)</f>
        <v>50000000</v>
      </c>
      <c r="G8" s="29">
        <f>SUM(C8:F8)</f>
        <v>651640000</v>
      </c>
      <c r="H8" s="30">
        <f>1901134700-G8-840118294.666667</f>
        <v>409376405.33333302</v>
      </c>
      <c r="I8" s="29">
        <f t="shared" si="2"/>
        <v>1061016405.333333</v>
      </c>
      <c r="J8" s="31" t="s">
        <v>24</v>
      </c>
    </row>
    <row r="9" spans="1:12" ht="31.2" thickTop="1" thickBot="1" x14ac:dyDescent="0.35">
      <c r="A9" s="19" t="s">
        <v>25</v>
      </c>
      <c r="B9" s="32" t="s">
        <v>26</v>
      </c>
      <c r="C9" s="22">
        <f>0</f>
        <v>0</v>
      </c>
      <c r="D9" s="22">
        <f>0</f>
        <v>0</v>
      </c>
      <c r="E9" s="22">
        <f>0</f>
        <v>0</v>
      </c>
      <c r="F9" s="22">
        <f>0*(19500000+14360000)</f>
        <v>0</v>
      </c>
      <c r="G9" s="22">
        <f>SUM(C9:F9)</f>
        <v>0</v>
      </c>
      <c r="H9" s="22"/>
      <c r="I9" s="22">
        <f t="shared" si="2"/>
        <v>0</v>
      </c>
      <c r="J9" s="33"/>
    </row>
    <row r="10" spans="1:12" ht="76.2" thickTop="1" thickBot="1" x14ac:dyDescent="0.35">
      <c r="A10" s="19" t="s">
        <v>27</v>
      </c>
      <c r="B10" s="32" t="s">
        <v>28</v>
      </c>
      <c r="C10" s="22">
        <f>0</f>
        <v>0</v>
      </c>
      <c r="D10" s="22">
        <f>0</f>
        <v>0</v>
      </c>
      <c r="E10" s="22">
        <f>0*28720000/4</f>
        <v>0</v>
      </c>
      <c r="F10" s="22">
        <v>0</v>
      </c>
      <c r="G10" s="22">
        <f>SUM(C10:F10)</f>
        <v>0</v>
      </c>
      <c r="H10" s="22"/>
      <c r="I10" s="22">
        <f t="shared" si="2"/>
        <v>0</v>
      </c>
      <c r="J10" s="33"/>
    </row>
    <row r="11" spans="1:12" ht="32.4" thickTop="1" thickBot="1" x14ac:dyDescent="0.35">
      <c r="A11" s="15" t="s">
        <v>29</v>
      </c>
      <c r="B11" s="16" t="s">
        <v>30</v>
      </c>
      <c r="C11" s="34">
        <f t="shared" ref="C11:H11" si="5">SUM(C12:C15)</f>
        <v>397174901</v>
      </c>
      <c r="D11" s="34">
        <f t="shared" si="5"/>
        <v>276174901</v>
      </c>
      <c r="E11" s="34">
        <f t="shared" si="5"/>
        <v>179333333.33333331</v>
      </c>
      <c r="F11" s="34">
        <f t="shared" si="5"/>
        <v>127333333.33333333</v>
      </c>
      <c r="G11" s="34">
        <f t="shared" si="5"/>
        <v>980016468.66666663</v>
      </c>
      <c r="H11" s="34">
        <f t="shared" si="5"/>
        <v>717689350</v>
      </c>
      <c r="I11" s="34">
        <f t="shared" si="2"/>
        <v>1697705818.6666665</v>
      </c>
      <c r="J11" s="35"/>
    </row>
    <row r="12" spans="1:12" ht="16.2" thickTop="1" thickBot="1" x14ac:dyDescent="0.35">
      <c r="A12" s="19" t="s">
        <v>31</v>
      </c>
      <c r="B12" s="32" t="s">
        <v>32</v>
      </c>
      <c r="C12" s="22">
        <f>(36333931+60000000+60000000)-100000000</f>
        <v>56333931</v>
      </c>
      <c r="D12" s="22">
        <f>(36333931+60000000)-16000000</f>
        <v>80333931</v>
      </c>
      <c r="E12" s="22">
        <f>(63250000/3)+67000000</f>
        <v>88083333.333333328</v>
      </c>
      <c r="F12" s="22">
        <f>(63250000/3)+15000000</f>
        <v>36083333.333333328</v>
      </c>
      <c r="G12" s="21">
        <f t="shared" ref="G12:G17" si="6">SUM(C12:F12)</f>
        <v>260834528.66666663</v>
      </c>
      <c r="H12" s="21"/>
      <c r="I12" s="21">
        <f t="shared" si="2"/>
        <v>260834528.66666663</v>
      </c>
      <c r="J12" s="23"/>
    </row>
    <row r="13" spans="1:12" ht="31.2" thickTop="1" thickBot="1" x14ac:dyDescent="0.35">
      <c r="A13" s="19" t="s">
        <v>33</v>
      </c>
      <c r="B13" s="20" t="s">
        <v>34</v>
      </c>
      <c r="C13" s="22">
        <f>65000000/4</f>
        <v>16250000</v>
      </c>
      <c r="D13" s="22">
        <f t="shared" ref="D13:F13" si="7">65000000/4</f>
        <v>16250000</v>
      </c>
      <c r="E13" s="22">
        <f t="shared" si="7"/>
        <v>16250000</v>
      </c>
      <c r="F13" s="22">
        <f t="shared" si="7"/>
        <v>16250000</v>
      </c>
      <c r="G13" s="21">
        <f t="shared" si="6"/>
        <v>65000000</v>
      </c>
      <c r="H13" s="21"/>
      <c r="I13" s="21">
        <f t="shared" si="2"/>
        <v>65000000</v>
      </c>
      <c r="J13" s="23"/>
    </row>
    <row r="14" spans="1:12" ht="94.8" thickTop="1" thickBot="1" x14ac:dyDescent="0.35">
      <c r="A14" s="36" t="s">
        <v>35</v>
      </c>
      <c r="B14" s="37" t="s">
        <v>36</v>
      </c>
      <c r="C14" s="38">
        <f>(79590970+270000000-75000000)+50000000</f>
        <v>324590970</v>
      </c>
      <c r="D14" s="38">
        <f>(79590970)+100000000</f>
        <v>179590970</v>
      </c>
      <c r="E14" s="38">
        <f>(0*79590970)+75000000</f>
        <v>75000000</v>
      </c>
      <c r="F14" s="38">
        <f>0+75000000</f>
        <v>75000000</v>
      </c>
      <c r="G14" s="39">
        <f t="shared" si="6"/>
        <v>654181940</v>
      </c>
      <c r="H14" s="30">
        <f>1371871290-G14</f>
        <v>717689350</v>
      </c>
      <c r="I14" s="39">
        <f t="shared" si="2"/>
        <v>1371871290</v>
      </c>
      <c r="J14" s="40" t="s">
        <v>37</v>
      </c>
    </row>
    <row r="15" spans="1:12" ht="16.2" thickTop="1" thickBot="1" x14ac:dyDescent="0.35">
      <c r="A15" s="36" t="s">
        <v>35</v>
      </c>
      <c r="B15" s="41" t="s">
        <v>38</v>
      </c>
      <c r="C15" s="22">
        <f>0</f>
        <v>0</v>
      </c>
      <c r="D15" s="22">
        <f>0*324580750/2</f>
        <v>0</v>
      </c>
      <c r="E15" s="22">
        <f>0*324580750/2</f>
        <v>0</v>
      </c>
      <c r="F15" s="22">
        <v>0</v>
      </c>
      <c r="G15" s="21">
        <f t="shared" si="6"/>
        <v>0</v>
      </c>
      <c r="H15" s="21"/>
      <c r="I15" s="21">
        <f t="shared" si="2"/>
        <v>0</v>
      </c>
      <c r="J15" s="23"/>
    </row>
    <row r="16" spans="1:12" ht="48" thickTop="1" thickBot="1" x14ac:dyDescent="0.35">
      <c r="A16" s="15" t="s">
        <v>39</v>
      </c>
      <c r="B16" s="16" t="s">
        <v>40</v>
      </c>
      <c r="C16" s="42">
        <f>C17</f>
        <v>14725000</v>
      </c>
      <c r="D16" s="42">
        <f>D17</f>
        <v>14725000</v>
      </c>
      <c r="E16" s="42">
        <f>E17</f>
        <v>19725000</v>
      </c>
      <c r="F16" s="42">
        <f>F17</f>
        <v>9725000</v>
      </c>
      <c r="G16" s="34">
        <f t="shared" si="6"/>
        <v>58900000</v>
      </c>
      <c r="H16" s="34">
        <f>H17</f>
        <v>0</v>
      </c>
      <c r="I16" s="34">
        <f t="shared" si="2"/>
        <v>58900000</v>
      </c>
      <c r="J16" s="35"/>
    </row>
    <row r="17" spans="1:10" ht="31.2" thickTop="1" thickBot="1" x14ac:dyDescent="0.35">
      <c r="A17" s="43" t="s">
        <v>41</v>
      </c>
      <c r="B17" s="32" t="s">
        <v>42</v>
      </c>
      <c r="C17" s="44">
        <f>((50000000+9450000)/2)-15000000</f>
        <v>14725000</v>
      </c>
      <c r="D17" s="22">
        <f>((100000000+9450000)/2)-40000000</f>
        <v>14725000</v>
      </c>
      <c r="E17" s="22">
        <f>((90000000+9450000)/2)-30000000</f>
        <v>19725000</v>
      </c>
      <c r="F17" s="22">
        <f>((40000000+9450000)/2)-15000000</f>
        <v>9725000</v>
      </c>
      <c r="G17" s="21">
        <f t="shared" si="6"/>
        <v>58900000</v>
      </c>
      <c r="H17" s="21"/>
      <c r="I17" s="21">
        <f t="shared" si="2"/>
        <v>58900000</v>
      </c>
      <c r="J17" s="23"/>
    </row>
    <row r="18" spans="1:10" ht="32.4" thickTop="1" thickBot="1" x14ac:dyDescent="0.35">
      <c r="A18" s="45" t="s">
        <v>43</v>
      </c>
      <c r="B18" s="12" t="s">
        <v>44</v>
      </c>
      <c r="C18" s="13">
        <f t="shared" ref="C18:H18" si="8">C19+C24+C26+C28+C30</f>
        <v>327687487.625</v>
      </c>
      <c r="D18" s="13">
        <f t="shared" si="8"/>
        <v>853037537.125</v>
      </c>
      <c r="E18" s="13">
        <f t="shared" si="8"/>
        <v>272937487.625</v>
      </c>
      <c r="F18" s="13">
        <f t="shared" si="8"/>
        <v>248937537.125</v>
      </c>
      <c r="G18" s="13">
        <f t="shared" si="8"/>
        <v>1698000049.5</v>
      </c>
      <c r="H18" s="13">
        <f t="shared" si="8"/>
        <v>608300000</v>
      </c>
      <c r="I18" s="13">
        <f t="shared" si="2"/>
        <v>2306300049.5</v>
      </c>
      <c r="J18" s="14"/>
    </row>
    <row r="19" spans="1:10" ht="48" thickTop="1" thickBot="1" x14ac:dyDescent="0.35">
      <c r="A19" s="15" t="s">
        <v>45</v>
      </c>
      <c r="B19" s="16" t="s">
        <v>46</v>
      </c>
      <c r="C19" s="42">
        <f t="shared" ref="C19:H19" si="9">SUM(C20:C23)</f>
        <v>244687487.625</v>
      </c>
      <c r="D19" s="42">
        <f t="shared" si="9"/>
        <v>812787487.625</v>
      </c>
      <c r="E19" s="42">
        <f t="shared" si="9"/>
        <v>229937487.625</v>
      </c>
      <c r="F19" s="42">
        <f t="shared" si="9"/>
        <v>235687487.625</v>
      </c>
      <c r="G19" s="42">
        <f t="shared" si="9"/>
        <v>1518499950.5</v>
      </c>
      <c r="H19" s="42">
        <f t="shared" si="9"/>
        <v>608300000</v>
      </c>
      <c r="I19" s="42">
        <f t="shared" si="2"/>
        <v>2126799950.5</v>
      </c>
      <c r="J19" s="46"/>
    </row>
    <row r="20" spans="1:10" ht="76.2" thickTop="1" thickBot="1" x14ac:dyDescent="0.35">
      <c r="A20" s="19" t="s">
        <v>47</v>
      </c>
      <c r="B20" s="53" t="s">
        <v>48</v>
      </c>
      <c r="C20" s="25">
        <f>3*(4500000)+6000000</f>
        <v>19500000</v>
      </c>
      <c r="D20" s="25">
        <f>3*(4500000)+6000000+4600000</f>
        <v>24100000</v>
      </c>
      <c r="E20" s="25">
        <f t="shared" ref="E20:F20" si="10">3*(4500000)+6000000</f>
        <v>19500000</v>
      </c>
      <c r="F20" s="25">
        <f t="shared" si="10"/>
        <v>19500000</v>
      </c>
      <c r="G20" s="26">
        <f>SUM(C20:F20)-4600000</f>
        <v>78000000</v>
      </c>
      <c r="H20" s="30">
        <v>4600000</v>
      </c>
      <c r="I20" s="26">
        <f>G20+H20</f>
        <v>82600000</v>
      </c>
      <c r="J20" s="27" t="s">
        <v>239</v>
      </c>
    </row>
    <row r="21" spans="1:10" ht="31.2" thickTop="1" thickBot="1" x14ac:dyDescent="0.35">
      <c r="A21" s="47" t="s">
        <v>49</v>
      </c>
      <c r="B21" s="48" t="s">
        <v>50</v>
      </c>
      <c r="C21" s="22">
        <f>12000000*0</f>
        <v>0</v>
      </c>
      <c r="D21" s="22">
        <v>0</v>
      </c>
      <c r="E21" s="22">
        <v>0</v>
      </c>
      <c r="F21" s="22">
        <v>0</v>
      </c>
      <c r="G21" s="21">
        <f>SUM(C21:F21)</f>
        <v>0</v>
      </c>
      <c r="H21" s="21"/>
      <c r="I21" s="21">
        <f t="shared" si="2"/>
        <v>0</v>
      </c>
      <c r="J21" s="23"/>
    </row>
    <row r="22" spans="1:10" ht="31.2" thickTop="1" thickBot="1" x14ac:dyDescent="0.35">
      <c r="A22" s="19" t="s">
        <v>51</v>
      </c>
      <c r="B22" s="32" t="s">
        <v>52</v>
      </c>
      <c r="C22" s="22">
        <v>0</v>
      </c>
      <c r="D22" s="22">
        <v>9500000</v>
      </c>
      <c r="E22" s="22">
        <v>0</v>
      </c>
      <c r="F22" s="22">
        <v>9500000</v>
      </c>
      <c r="G22" s="21">
        <f>SUM(C22:F22)</f>
        <v>19000000</v>
      </c>
      <c r="H22" s="21"/>
      <c r="I22" s="21">
        <f t="shared" si="2"/>
        <v>19000000</v>
      </c>
      <c r="J22" s="23"/>
    </row>
    <row r="23" spans="1:10" ht="141.6" thickTop="1" thickBot="1" x14ac:dyDescent="0.35">
      <c r="A23" s="19" t="s">
        <v>53</v>
      </c>
      <c r="B23" s="37" t="s">
        <v>54</v>
      </c>
      <c r="C23" s="38">
        <f>55000000+55000000+12000000+11500000+500000000-(33250049.5/4)-(400000000)</f>
        <v>225187487.625</v>
      </c>
      <c r="D23" s="38">
        <f>((25000000*70)+55000000+750000000-1500000000+15000000+117500000+500000000-(33250049.5/4))-800000000-(100000000)</f>
        <v>779187487.625</v>
      </c>
      <c r="E23" s="38">
        <f>55000000+35000000+25000000+103750000-(33250049.5/4)</f>
        <v>210437487.625</v>
      </c>
      <c r="F23" s="38">
        <f>55000000+250000000+10000000-(33250049.5/4)-(100000000)</f>
        <v>206687487.625</v>
      </c>
      <c r="G23" s="38">
        <f>SUM(C23:F23)</f>
        <v>1421499950.5</v>
      </c>
      <c r="H23" s="30">
        <f>160000000+396000000+47700000</f>
        <v>603700000</v>
      </c>
      <c r="I23" s="38">
        <f t="shared" si="2"/>
        <v>2025199950.5</v>
      </c>
      <c r="J23" s="49" t="s">
        <v>55</v>
      </c>
    </row>
    <row r="24" spans="1:10" ht="48" thickTop="1" thickBot="1" x14ac:dyDescent="0.35">
      <c r="A24" s="15" t="s">
        <v>56</v>
      </c>
      <c r="B24" s="16" t="s">
        <v>57</v>
      </c>
      <c r="C24" s="34">
        <f>C25</f>
        <v>5000000</v>
      </c>
      <c r="D24" s="34">
        <f>D25</f>
        <v>0</v>
      </c>
      <c r="E24" s="34">
        <f>E25</f>
        <v>0</v>
      </c>
      <c r="F24" s="34">
        <f>F25</f>
        <v>0</v>
      </c>
      <c r="G24" s="34">
        <f>SUM(C24:F24)</f>
        <v>5000000</v>
      </c>
      <c r="H24" s="34">
        <f>H25</f>
        <v>0</v>
      </c>
      <c r="I24" s="34">
        <f t="shared" si="2"/>
        <v>5000000</v>
      </c>
      <c r="J24" s="35"/>
    </row>
    <row r="25" spans="1:10" ht="16.8" thickTop="1" thickBot="1" x14ac:dyDescent="0.35">
      <c r="A25" s="50" t="s">
        <v>58</v>
      </c>
      <c r="B25" s="51" t="s">
        <v>59</v>
      </c>
      <c r="C25" s="44">
        <f>16500000-11500000</f>
        <v>5000000</v>
      </c>
      <c r="D25" s="22">
        <v>0</v>
      </c>
      <c r="E25" s="22">
        <v>0</v>
      </c>
      <c r="F25" s="22">
        <f>F26</f>
        <v>0</v>
      </c>
      <c r="G25" s="21">
        <f t="shared" ref="G25" si="11">SUM(C25:F25)</f>
        <v>5000000</v>
      </c>
      <c r="H25" s="21"/>
      <c r="I25" s="21">
        <f t="shared" si="2"/>
        <v>5000000</v>
      </c>
      <c r="J25" s="23"/>
    </row>
    <row r="26" spans="1:10" ht="63.6" thickTop="1" thickBot="1" x14ac:dyDescent="0.35">
      <c r="A26" s="52" t="s">
        <v>60</v>
      </c>
      <c r="B26" s="16" t="s">
        <v>61</v>
      </c>
      <c r="C26" s="42">
        <f>C27</f>
        <v>0</v>
      </c>
      <c r="D26" s="42">
        <f>D27</f>
        <v>0</v>
      </c>
      <c r="E26" s="42">
        <f>E27</f>
        <v>0</v>
      </c>
      <c r="F26" s="42">
        <f>F27</f>
        <v>0</v>
      </c>
      <c r="G26" s="42">
        <f>SUM(C26:F26)</f>
        <v>0</v>
      </c>
      <c r="H26" s="42">
        <f>H27</f>
        <v>0</v>
      </c>
      <c r="I26" s="42">
        <f t="shared" si="2"/>
        <v>0</v>
      </c>
      <c r="J26" s="46"/>
    </row>
    <row r="27" spans="1:10" ht="31.2" thickTop="1" thickBot="1" x14ac:dyDescent="0.35">
      <c r="A27" s="19" t="s">
        <v>62</v>
      </c>
      <c r="B27" s="32" t="s">
        <v>63</v>
      </c>
      <c r="C27" s="22">
        <f>0*4595000</f>
        <v>0</v>
      </c>
      <c r="D27" s="22">
        <f>0*55650000</f>
        <v>0</v>
      </c>
      <c r="E27" s="22">
        <f>0*7808815</f>
        <v>0</v>
      </c>
      <c r="F27" s="22">
        <f>0</f>
        <v>0</v>
      </c>
      <c r="G27" s="21">
        <f>SUM(C27:E27)</f>
        <v>0</v>
      </c>
      <c r="H27" s="21"/>
      <c r="I27" s="21">
        <f t="shared" si="2"/>
        <v>0</v>
      </c>
      <c r="J27" s="23"/>
    </row>
    <row r="28" spans="1:10" ht="48" thickTop="1" thickBot="1" x14ac:dyDescent="0.35">
      <c r="A28" s="15" t="s">
        <v>64</v>
      </c>
      <c r="B28" s="16" t="s">
        <v>65</v>
      </c>
      <c r="C28" s="34">
        <f t="shared" ref="C28:H28" si="12">C29</f>
        <v>24000000</v>
      </c>
      <c r="D28" s="34">
        <f t="shared" si="12"/>
        <v>13250049.5</v>
      </c>
      <c r="E28" s="34">
        <f t="shared" si="12"/>
        <v>16000000</v>
      </c>
      <c r="F28" s="34">
        <f t="shared" si="12"/>
        <v>13250049.5</v>
      </c>
      <c r="G28" s="34">
        <f t="shared" si="12"/>
        <v>66500099</v>
      </c>
      <c r="H28" s="34">
        <f t="shared" si="12"/>
        <v>0</v>
      </c>
      <c r="I28" s="34">
        <f t="shared" si="2"/>
        <v>66500099</v>
      </c>
      <c r="J28" s="35"/>
    </row>
    <row r="29" spans="1:10" ht="31.2" thickTop="1" thickBot="1" x14ac:dyDescent="0.35">
      <c r="A29" s="19" t="s">
        <v>66</v>
      </c>
      <c r="B29" s="32" t="s">
        <v>67</v>
      </c>
      <c r="C29" s="44">
        <f>24000000</f>
        <v>24000000</v>
      </c>
      <c r="D29" s="44">
        <f>26500099/2</f>
        <v>13250049.5</v>
      </c>
      <c r="E29" s="44">
        <f>16000000</f>
        <v>16000000</v>
      </c>
      <c r="F29" s="22">
        <f>26500099/2</f>
        <v>13250049.5</v>
      </c>
      <c r="G29" s="21">
        <f>SUM(C29:F29)</f>
        <v>66500099</v>
      </c>
      <c r="H29" s="21"/>
      <c r="I29" s="21">
        <f t="shared" si="2"/>
        <v>66500099</v>
      </c>
      <c r="J29" s="23"/>
    </row>
    <row r="30" spans="1:10" ht="63.6" thickTop="1" thickBot="1" x14ac:dyDescent="0.35">
      <c r="A30" s="52" t="s">
        <v>68</v>
      </c>
      <c r="B30" s="16" t="s">
        <v>69</v>
      </c>
      <c r="C30" s="42">
        <f>SUM(C31:C35)</f>
        <v>54000000</v>
      </c>
      <c r="D30" s="42">
        <f>SUM(D31:D35)</f>
        <v>27000000</v>
      </c>
      <c r="E30" s="42">
        <f t="shared" ref="E30:F30" si="13">SUM(E31:E35)</f>
        <v>27000000</v>
      </c>
      <c r="F30" s="42">
        <f t="shared" si="13"/>
        <v>0</v>
      </c>
      <c r="G30" s="42">
        <f>SUM(G31:G35)</f>
        <v>108000000</v>
      </c>
      <c r="H30" s="42">
        <f>SUM(H31:H35)</f>
        <v>0</v>
      </c>
      <c r="I30" s="42">
        <f t="shared" si="2"/>
        <v>108000000</v>
      </c>
      <c r="J30" s="46"/>
    </row>
    <row r="31" spans="1:10" ht="31.2" thickTop="1" thickBot="1" x14ac:dyDescent="0.35">
      <c r="A31" s="19" t="s">
        <v>70</v>
      </c>
      <c r="B31" s="32" t="s">
        <v>71</v>
      </c>
      <c r="C31" s="22">
        <f>0*12000000</f>
        <v>0</v>
      </c>
      <c r="D31" s="22">
        <v>0</v>
      </c>
      <c r="E31" s="22">
        <f>7500000*0</f>
        <v>0</v>
      </c>
      <c r="F31" s="22">
        <f>0/4</f>
        <v>0</v>
      </c>
      <c r="G31" s="21">
        <f>SUM(C31:F31)</f>
        <v>0</v>
      </c>
      <c r="H31" s="21"/>
      <c r="I31" s="21">
        <f t="shared" si="2"/>
        <v>0</v>
      </c>
      <c r="J31" s="23"/>
    </row>
    <row r="32" spans="1:10" ht="16.2" thickTop="1" thickBot="1" x14ac:dyDescent="0.35">
      <c r="A32" s="19" t="s">
        <v>72</v>
      </c>
      <c r="B32" s="32" t="s">
        <v>73</v>
      </c>
      <c r="C32" s="22">
        <f>0*30000000</f>
        <v>0</v>
      </c>
      <c r="D32" s="22">
        <f>0*30000000</f>
        <v>0</v>
      </c>
      <c r="E32" s="22">
        <f>0*12000000</f>
        <v>0</v>
      </c>
      <c r="F32" s="22">
        <f>0/4</f>
        <v>0</v>
      </c>
      <c r="G32" s="21">
        <f>SUM(C32:F32)</f>
        <v>0</v>
      </c>
      <c r="H32" s="21"/>
      <c r="I32" s="21">
        <f t="shared" si="2"/>
        <v>0</v>
      </c>
      <c r="J32" s="23"/>
    </row>
    <row r="33" spans="1:10" ht="16.2" thickTop="1" thickBot="1" x14ac:dyDescent="0.35">
      <c r="A33" s="36" t="s">
        <v>74</v>
      </c>
      <c r="B33" s="41" t="s">
        <v>75</v>
      </c>
      <c r="C33" s="22">
        <f>0</f>
        <v>0</v>
      </c>
      <c r="D33" s="22">
        <f>0</f>
        <v>0</v>
      </c>
      <c r="E33" s="22">
        <f>0</f>
        <v>0</v>
      </c>
      <c r="F33" s="22">
        <f>0</f>
        <v>0</v>
      </c>
      <c r="G33" s="21">
        <f>SUM(C33:F33)</f>
        <v>0</v>
      </c>
      <c r="H33" s="21"/>
      <c r="I33" s="21">
        <f t="shared" si="2"/>
        <v>0</v>
      </c>
      <c r="J33" s="23"/>
    </row>
    <row r="34" spans="1:10" ht="16.2" thickTop="1" thickBot="1" x14ac:dyDescent="0.35">
      <c r="A34" s="19" t="s">
        <v>76</v>
      </c>
      <c r="B34" s="32" t="s">
        <v>77</v>
      </c>
      <c r="C34" s="22">
        <f>0*10000000</f>
        <v>0</v>
      </c>
      <c r="D34" s="22">
        <f>0*20000000</f>
        <v>0</v>
      </c>
      <c r="E34" s="22">
        <f>0*10000000</f>
        <v>0</v>
      </c>
      <c r="F34" s="22">
        <f>0*20000000</f>
        <v>0</v>
      </c>
      <c r="G34" s="21">
        <f>SUM(C34:F34)</f>
        <v>0</v>
      </c>
      <c r="H34" s="21"/>
      <c r="I34" s="21">
        <f t="shared" si="2"/>
        <v>0</v>
      </c>
      <c r="J34" s="23"/>
    </row>
    <row r="35" spans="1:10" ht="16.2" thickTop="1" thickBot="1" x14ac:dyDescent="0.35">
      <c r="A35" s="19" t="s">
        <v>78</v>
      </c>
      <c r="B35" s="32" t="s">
        <v>79</v>
      </c>
      <c r="C35" s="22">
        <f>(128000000/2)-10000000</f>
        <v>54000000</v>
      </c>
      <c r="D35" s="22">
        <f>((128000000/2)-10000000)/2</f>
        <v>27000000</v>
      </c>
      <c r="E35" s="22">
        <f>((128000000/2)-10000000)/2</f>
        <v>27000000</v>
      </c>
      <c r="F35" s="22">
        <f>0</f>
        <v>0</v>
      </c>
      <c r="G35" s="21">
        <f>SUM(C35:F35)</f>
        <v>108000000</v>
      </c>
      <c r="H35" s="21"/>
      <c r="I35" s="21">
        <f t="shared" si="2"/>
        <v>108000000</v>
      </c>
      <c r="J35" s="23"/>
    </row>
    <row r="36" spans="1:10" ht="16.8" thickTop="1" thickBot="1" x14ac:dyDescent="0.35">
      <c r="A36" s="45" t="s">
        <v>80</v>
      </c>
      <c r="B36" s="12" t="s">
        <v>81</v>
      </c>
      <c r="C36" s="13">
        <f t="shared" ref="C36:H36" si="14">C37+C39+C42</f>
        <v>122707099</v>
      </c>
      <c r="D36" s="13">
        <f t="shared" si="14"/>
        <v>129840000</v>
      </c>
      <c r="E36" s="13">
        <f t="shared" si="14"/>
        <v>30000000</v>
      </c>
      <c r="F36" s="13">
        <f t="shared" si="14"/>
        <v>25000000</v>
      </c>
      <c r="G36" s="13">
        <f t="shared" si="14"/>
        <v>250707099</v>
      </c>
      <c r="H36" s="13">
        <f t="shared" si="14"/>
        <v>56840000</v>
      </c>
      <c r="I36" s="13">
        <f t="shared" si="2"/>
        <v>307547099</v>
      </c>
      <c r="J36" s="14"/>
    </row>
    <row r="37" spans="1:10" ht="32.4" thickTop="1" thickBot="1" x14ac:dyDescent="0.35">
      <c r="A37" s="15" t="s">
        <v>82</v>
      </c>
      <c r="B37" s="16" t="s">
        <v>83</v>
      </c>
      <c r="C37" s="42">
        <f t="shared" ref="C37:H37" si="15">+C38</f>
        <v>63398975</v>
      </c>
      <c r="D37" s="42">
        <f t="shared" si="15"/>
        <v>94840000</v>
      </c>
      <c r="E37" s="42">
        <f t="shared" si="15"/>
        <v>0</v>
      </c>
      <c r="F37" s="42">
        <f t="shared" si="15"/>
        <v>0</v>
      </c>
      <c r="G37" s="42">
        <f t="shared" si="15"/>
        <v>141398975</v>
      </c>
      <c r="H37" s="42">
        <f t="shared" si="15"/>
        <v>16840000</v>
      </c>
      <c r="I37" s="42">
        <f t="shared" si="2"/>
        <v>158238975</v>
      </c>
      <c r="J37" s="46"/>
    </row>
    <row r="38" spans="1:10" ht="46.2" thickTop="1" thickBot="1" x14ac:dyDescent="0.35">
      <c r="A38" s="19" t="s">
        <v>84</v>
      </c>
      <c r="B38" s="53" t="s">
        <v>85</v>
      </c>
      <c r="C38" s="25">
        <f>0*(55000000+100000000+450000000+280000000)+16250000+12500000+14398975+10000000+10000000+45750000+4500000-50000000</f>
        <v>63398975</v>
      </c>
      <c r="D38" s="25">
        <f>0*((25000000*0)+(1500000*260)+55000000+100000000+250000000+425000000+500000000)+100000000+28000000-50000000+ 16840000</f>
        <v>94840000</v>
      </c>
      <c r="E38" s="25">
        <f>0*(350000000-35000000)</f>
        <v>0</v>
      </c>
      <c r="F38" s="25">
        <f>0*398660000</f>
        <v>0</v>
      </c>
      <c r="G38" s="26">
        <f>SUM(C38:F38)-16840000</f>
        <v>141398975</v>
      </c>
      <c r="H38" s="30">
        <v>16840000</v>
      </c>
      <c r="I38" s="26">
        <f t="shared" si="2"/>
        <v>158238975</v>
      </c>
      <c r="J38" s="27" t="s">
        <v>241</v>
      </c>
    </row>
    <row r="39" spans="1:10" ht="32.4" thickTop="1" thickBot="1" x14ac:dyDescent="0.35">
      <c r="A39" s="15" t="s">
        <v>86</v>
      </c>
      <c r="B39" s="16" t="s">
        <v>87</v>
      </c>
      <c r="C39" s="42">
        <f t="shared" ref="C39:H39" si="16">+C40+C41</f>
        <v>25000000</v>
      </c>
      <c r="D39" s="42">
        <f t="shared" si="16"/>
        <v>35000000</v>
      </c>
      <c r="E39" s="42">
        <f t="shared" si="16"/>
        <v>30000000</v>
      </c>
      <c r="F39" s="42">
        <f t="shared" si="16"/>
        <v>25000000</v>
      </c>
      <c r="G39" s="42">
        <f t="shared" si="16"/>
        <v>75000000</v>
      </c>
      <c r="H39" s="42">
        <f t="shared" si="16"/>
        <v>40000000</v>
      </c>
      <c r="I39" s="42">
        <f t="shared" si="2"/>
        <v>115000000</v>
      </c>
      <c r="J39" s="46"/>
    </row>
    <row r="40" spans="1:10" ht="16.2" thickTop="1" thickBot="1" x14ac:dyDescent="0.35">
      <c r="A40" s="19" t="s">
        <v>88</v>
      </c>
      <c r="B40" s="32" t="s">
        <v>89</v>
      </c>
      <c r="C40" s="22">
        <f>0*35000000</f>
        <v>0</v>
      </c>
      <c r="D40" s="22">
        <f>0</f>
        <v>0</v>
      </c>
      <c r="E40" s="22">
        <f>0</f>
        <v>0</v>
      </c>
      <c r="F40" s="22">
        <v>0</v>
      </c>
      <c r="G40" s="21">
        <f>SUM(C40:F40)</f>
        <v>0</v>
      </c>
      <c r="H40" s="21"/>
      <c r="I40" s="21">
        <f t="shared" si="2"/>
        <v>0</v>
      </c>
      <c r="J40" s="23"/>
    </row>
    <row r="41" spans="1:10" ht="31.2" thickTop="1" thickBot="1" x14ac:dyDescent="0.35">
      <c r="A41" s="19" t="s">
        <v>90</v>
      </c>
      <c r="B41" s="53" t="s">
        <v>91</v>
      </c>
      <c r="C41" s="25">
        <f>25000000</f>
        <v>25000000</v>
      </c>
      <c r="D41" s="25">
        <v>35000000</v>
      </c>
      <c r="E41" s="25">
        <v>30000000</v>
      </c>
      <c r="F41" s="25">
        <f>50000000-25000000</f>
        <v>25000000</v>
      </c>
      <c r="G41" s="26">
        <f>SUM(C41:F41)-40000000</f>
        <v>75000000</v>
      </c>
      <c r="H41" s="30">
        <v>40000000</v>
      </c>
      <c r="I41" s="26">
        <f t="shared" si="2"/>
        <v>115000000</v>
      </c>
      <c r="J41" s="27" t="s">
        <v>242</v>
      </c>
    </row>
    <row r="42" spans="1:10" ht="32.4" thickTop="1" thickBot="1" x14ac:dyDescent="0.35">
      <c r="A42" s="15" t="s">
        <v>92</v>
      </c>
      <c r="B42" s="16" t="s">
        <v>93</v>
      </c>
      <c r="C42" s="42">
        <f>+C43</f>
        <v>34308124</v>
      </c>
      <c r="D42" s="42">
        <f>+D43</f>
        <v>0</v>
      </c>
      <c r="E42" s="42">
        <f>+E43</f>
        <v>0</v>
      </c>
      <c r="F42" s="42">
        <f>+F43</f>
        <v>0</v>
      </c>
      <c r="G42" s="42">
        <f>SUM(C42:F42)</f>
        <v>34308124</v>
      </c>
      <c r="H42" s="42">
        <f>H43</f>
        <v>0</v>
      </c>
      <c r="I42" s="42">
        <f t="shared" si="2"/>
        <v>34308124</v>
      </c>
      <c r="J42" s="46"/>
    </row>
    <row r="43" spans="1:10" ht="46.2" thickTop="1" thickBot="1" x14ac:dyDescent="0.35">
      <c r="A43" s="19" t="s">
        <v>94</v>
      </c>
      <c r="B43" s="32" t="s">
        <v>95</v>
      </c>
      <c r="C43" s="22">
        <f>29308124+5000000</f>
        <v>34308124</v>
      </c>
      <c r="D43" s="22">
        <f>0*15000000</f>
        <v>0</v>
      </c>
      <c r="E43" s="22">
        <v>0</v>
      </c>
      <c r="F43" s="22">
        <v>0</v>
      </c>
      <c r="G43" s="22">
        <f>SUM(C43:F43)</f>
        <v>34308124</v>
      </c>
      <c r="H43" s="22"/>
      <c r="I43" s="22">
        <f t="shared" si="2"/>
        <v>34308124</v>
      </c>
      <c r="J43" s="33"/>
    </row>
    <row r="44" spans="1:10" ht="32.4" thickTop="1" thickBot="1" x14ac:dyDescent="0.35">
      <c r="A44" s="54" t="s">
        <v>96</v>
      </c>
      <c r="B44" s="12" t="s">
        <v>97</v>
      </c>
      <c r="C44" s="13">
        <f t="shared" ref="C44:H44" si="17">C45+C48+C50+C63</f>
        <v>258968992.5</v>
      </c>
      <c r="D44" s="13">
        <f t="shared" si="17"/>
        <v>357499000</v>
      </c>
      <c r="E44" s="13">
        <f t="shared" si="17"/>
        <v>194500000</v>
      </c>
      <c r="F44" s="13">
        <f t="shared" si="17"/>
        <v>149500000</v>
      </c>
      <c r="G44" s="13">
        <f t="shared" si="17"/>
        <v>960467992.5</v>
      </c>
      <c r="H44" s="13">
        <f t="shared" si="17"/>
        <v>0</v>
      </c>
      <c r="I44" s="13">
        <f t="shared" si="2"/>
        <v>960467992.5</v>
      </c>
      <c r="J44" s="14"/>
    </row>
    <row r="45" spans="1:10" ht="32.4" thickTop="1" thickBot="1" x14ac:dyDescent="0.35">
      <c r="A45" s="52" t="s">
        <v>98</v>
      </c>
      <c r="B45" s="16" t="s">
        <v>99</v>
      </c>
      <c r="C45" s="42">
        <f t="shared" ref="C45:H45" si="18">SUM(C46:C47)</f>
        <v>25000000</v>
      </c>
      <c r="D45" s="42">
        <f t="shared" si="18"/>
        <v>50000000</v>
      </c>
      <c r="E45" s="42">
        <f t="shared" si="18"/>
        <v>40000000</v>
      </c>
      <c r="F45" s="42">
        <f t="shared" si="18"/>
        <v>15000000</v>
      </c>
      <c r="G45" s="42">
        <f t="shared" si="18"/>
        <v>130000000</v>
      </c>
      <c r="H45" s="42">
        <f t="shared" si="18"/>
        <v>0</v>
      </c>
      <c r="I45" s="42">
        <f t="shared" si="2"/>
        <v>130000000</v>
      </c>
      <c r="J45" s="46"/>
    </row>
    <row r="46" spans="1:10" ht="46.2" thickTop="1" thickBot="1" x14ac:dyDescent="0.35">
      <c r="A46" s="19" t="s">
        <v>100</v>
      </c>
      <c r="B46" s="32" t="s">
        <v>101</v>
      </c>
      <c r="C46" s="22">
        <f>0</f>
        <v>0</v>
      </c>
      <c r="D46" s="22">
        <f>0*(17952000+19000000)</f>
        <v>0</v>
      </c>
      <c r="E46" s="22">
        <f>0*(125309000+19000000)</f>
        <v>0</v>
      </c>
      <c r="F46" s="22">
        <f>0*(62654500+16084500)</f>
        <v>0</v>
      </c>
      <c r="G46" s="22">
        <f>SUM(C46:F46)</f>
        <v>0</v>
      </c>
      <c r="H46" s="22"/>
      <c r="I46" s="22">
        <f t="shared" si="2"/>
        <v>0</v>
      </c>
      <c r="J46" s="33"/>
    </row>
    <row r="47" spans="1:10" ht="61.2" thickTop="1" thickBot="1" x14ac:dyDescent="0.35">
      <c r="A47" s="19" t="s">
        <v>102</v>
      </c>
      <c r="B47" s="32" t="s">
        <v>103</v>
      </c>
      <c r="C47" s="22">
        <f>50000000/2</f>
        <v>25000000</v>
      </c>
      <c r="D47" s="22">
        <f>100000000/2</f>
        <v>50000000</v>
      </c>
      <c r="E47" s="22">
        <f>80000000/2</f>
        <v>40000000</v>
      </c>
      <c r="F47" s="22">
        <f>30000000/2</f>
        <v>15000000</v>
      </c>
      <c r="G47" s="22">
        <f>SUM(C47:F47)</f>
        <v>130000000</v>
      </c>
      <c r="H47" s="22"/>
      <c r="I47" s="22">
        <f t="shared" si="2"/>
        <v>130000000</v>
      </c>
      <c r="J47" s="33"/>
    </row>
    <row r="48" spans="1:10" ht="32.4" thickTop="1" thickBot="1" x14ac:dyDescent="0.35">
      <c r="A48" s="52" t="s">
        <v>104</v>
      </c>
      <c r="B48" s="16" t="s">
        <v>105</v>
      </c>
      <c r="C48" s="42">
        <f t="shared" ref="C48:H48" si="19">C49</f>
        <v>0</v>
      </c>
      <c r="D48" s="42">
        <f t="shared" si="19"/>
        <v>0</v>
      </c>
      <c r="E48" s="42">
        <f t="shared" si="19"/>
        <v>0</v>
      </c>
      <c r="F48" s="42">
        <f t="shared" si="19"/>
        <v>0</v>
      </c>
      <c r="G48" s="42">
        <f t="shared" si="19"/>
        <v>0</v>
      </c>
      <c r="H48" s="42">
        <f t="shared" si="19"/>
        <v>0</v>
      </c>
      <c r="I48" s="42">
        <f t="shared" si="2"/>
        <v>0</v>
      </c>
      <c r="J48" s="46"/>
    </row>
    <row r="49" spans="1:10" ht="46.2" thickTop="1" thickBot="1" x14ac:dyDescent="0.35">
      <c r="A49" s="47" t="s">
        <v>106</v>
      </c>
      <c r="B49" s="48" t="s">
        <v>107</v>
      </c>
      <c r="C49" s="55">
        <f>0*36018600</f>
        <v>0</v>
      </c>
      <c r="D49" s="55">
        <f>0*50000000</f>
        <v>0</v>
      </c>
      <c r="E49" s="55">
        <v>0</v>
      </c>
      <c r="F49" s="55">
        <f>0*18009300</f>
        <v>0</v>
      </c>
      <c r="G49" s="56">
        <f>SUM(C49:F49)</f>
        <v>0</v>
      </c>
      <c r="H49" s="56"/>
      <c r="I49" s="56">
        <f t="shared" si="2"/>
        <v>0</v>
      </c>
      <c r="J49" s="57"/>
    </row>
    <row r="50" spans="1:10" ht="32.4" thickTop="1" thickBot="1" x14ac:dyDescent="0.35">
      <c r="A50" s="52" t="s">
        <v>108</v>
      </c>
      <c r="B50" s="16" t="s">
        <v>109</v>
      </c>
      <c r="C50" s="42">
        <f>SUM(C51:C62)</f>
        <v>233968992.5</v>
      </c>
      <c r="D50" s="42">
        <f t="shared" ref="D50:F50" si="20">SUM(D51:D62)</f>
        <v>307499000</v>
      </c>
      <c r="E50" s="42">
        <f t="shared" si="20"/>
        <v>137000000</v>
      </c>
      <c r="F50" s="42">
        <f t="shared" si="20"/>
        <v>117000000</v>
      </c>
      <c r="G50" s="42">
        <f>SUM(G51:G62)</f>
        <v>795467992.5</v>
      </c>
      <c r="H50" s="42">
        <f>SUM(H51:H62)</f>
        <v>0</v>
      </c>
      <c r="I50" s="42">
        <f t="shared" si="2"/>
        <v>795467992.5</v>
      </c>
      <c r="J50" s="46"/>
    </row>
    <row r="51" spans="1:10" ht="46.2" thickTop="1" thickBot="1" x14ac:dyDescent="0.35">
      <c r="A51" s="19" t="s">
        <v>110</v>
      </c>
      <c r="B51" s="53" t="s">
        <v>111</v>
      </c>
      <c r="C51" s="25">
        <f>((81008385/2)+964800)+50000000</f>
        <v>91468992.5</v>
      </c>
      <c r="D51" s="25">
        <f xml:space="preserve"> (34249000)+50000000</f>
        <v>84249000</v>
      </c>
      <c r="E51" s="25">
        <f>0+25000000</f>
        <v>25000000</v>
      </c>
      <c r="F51" s="25">
        <f>0+25000000</f>
        <v>25000000</v>
      </c>
      <c r="G51" s="26">
        <f>SUM(C51:F51)</f>
        <v>225717992.5</v>
      </c>
      <c r="H51" s="26"/>
      <c r="I51" s="26">
        <f t="shared" si="2"/>
        <v>225717992.5</v>
      </c>
      <c r="J51" s="27" t="s">
        <v>19</v>
      </c>
    </row>
    <row r="52" spans="1:10" ht="46.2" thickTop="1" thickBot="1" x14ac:dyDescent="0.35">
      <c r="A52" s="19" t="s">
        <v>112</v>
      </c>
      <c r="B52" s="32" t="s">
        <v>113</v>
      </c>
      <c r="C52" s="22">
        <v>10000000</v>
      </c>
      <c r="D52" s="22">
        <v>15000000</v>
      </c>
      <c r="E52" s="22">
        <f>0*25000000</f>
        <v>0</v>
      </c>
      <c r="F52" s="22">
        <f>0*10000000</f>
        <v>0</v>
      </c>
      <c r="G52" s="21">
        <f t="shared" ref="G52:G59" si="21">SUM(C52:F52)</f>
        <v>25000000</v>
      </c>
      <c r="H52" s="21"/>
      <c r="I52" s="21">
        <f t="shared" si="2"/>
        <v>25000000</v>
      </c>
      <c r="J52" s="23"/>
    </row>
    <row r="53" spans="1:10" ht="16.2" thickTop="1" thickBot="1" x14ac:dyDescent="0.35">
      <c r="A53" s="19" t="s">
        <v>114</v>
      </c>
      <c r="B53" s="20" t="s">
        <v>115</v>
      </c>
      <c r="C53" s="22">
        <f>10000000*0</f>
        <v>0</v>
      </c>
      <c r="D53" s="22">
        <f>10000000*0</f>
        <v>0</v>
      </c>
      <c r="E53" s="22">
        <f>129099500*0</f>
        <v>0</v>
      </c>
      <c r="F53" s="22">
        <v>0</v>
      </c>
      <c r="G53" s="21">
        <f t="shared" si="21"/>
        <v>0</v>
      </c>
      <c r="H53" s="21"/>
      <c r="I53" s="21">
        <f t="shared" si="2"/>
        <v>0</v>
      </c>
      <c r="J53" s="23"/>
    </row>
    <row r="54" spans="1:10" ht="31.2" thickTop="1" thickBot="1" x14ac:dyDescent="0.35">
      <c r="A54" s="19" t="s">
        <v>116</v>
      </c>
      <c r="B54" s="32" t="s">
        <v>117</v>
      </c>
      <c r="C54" s="22">
        <f>14500000-4500000</f>
        <v>10000000</v>
      </c>
      <c r="D54" s="22">
        <v>0</v>
      </c>
      <c r="E54" s="22">
        <v>0</v>
      </c>
      <c r="F54" s="22">
        <v>0</v>
      </c>
      <c r="G54" s="21">
        <f t="shared" si="21"/>
        <v>10000000</v>
      </c>
      <c r="H54" s="21"/>
      <c r="I54" s="21">
        <f t="shared" si="2"/>
        <v>10000000</v>
      </c>
      <c r="J54" s="23"/>
    </row>
    <row r="55" spans="1:10" ht="46.2" thickTop="1" thickBot="1" x14ac:dyDescent="0.35">
      <c r="A55" s="47" t="s">
        <v>118</v>
      </c>
      <c r="B55" s="48" t="s">
        <v>119</v>
      </c>
      <c r="C55" s="22">
        <f>0*300000000</f>
        <v>0</v>
      </c>
      <c r="D55" s="22">
        <f>0*50000000</f>
        <v>0</v>
      </c>
      <c r="E55" s="22">
        <f>0*50000000</f>
        <v>0</v>
      </c>
      <c r="F55" s="22">
        <f>0</f>
        <v>0</v>
      </c>
      <c r="G55" s="21">
        <f>SUM(C55:F55)</f>
        <v>0</v>
      </c>
      <c r="H55" s="21"/>
      <c r="I55" s="21">
        <f t="shared" si="2"/>
        <v>0</v>
      </c>
      <c r="J55" s="23"/>
    </row>
    <row r="56" spans="1:10" ht="31.2" thickTop="1" thickBot="1" x14ac:dyDescent="0.35">
      <c r="A56" s="19" t="s">
        <v>120</v>
      </c>
      <c r="B56" s="32" t="s">
        <v>121</v>
      </c>
      <c r="C56" s="22">
        <f>72300000-12300000</f>
        <v>60000000</v>
      </c>
      <c r="D56" s="22">
        <f>72300000-12300000</f>
        <v>60000000</v>
      </c>
      <c r="E56" s="22">
        <f>72300000-12300000</f>
        <v>60000000</v>
      </c>
      <c r="F56" s="22">
        <f>72300000-12300000</f>
        <v>60000000</v>
      </c>
      <c r="G56" s="21">
        <f>SUM(C56:F56)</f>
        <v>240000000</v>
      </c>
      <c r="H56" s="21"/>
      <c r="I56" s="21">
        <f t="shared" si="2"/>
        <v>240000000</v>
      </c>
      <c r="J56" s="23"/>
    </row>
    <row r="57" spans="1:10" ht="46.2" thickTop="1" thickBot="1" x14ac:dyDescent="0.35">
      <c r="A57" s="58" t="s">
        <v>122</v>
      </c>
      <c r="B57" s="32" t="s">
        <v>123</v>
      </c>
      <c r="C57" s="22">
        <f>12500000</f>
        <v>12500000</v>
      </c>
      <c r="D57" s="22">
        <v>22500000</v>
      </c>
      <c r="E57" s="22">
        <f>12500000</f>
        <v>12500000</v>
      </c>
      <c r="F57" s="22">
        <f>12500000</f>
        <v>12500000</v>
      </c>
      <c r="G57" s="22">
        <f>SUM(C57:F57)</f>
        <v>60000000</v>
      </c>
      <c r="H57" s="22"/>
      <c r="I57" s="22">
        <f t="shared" si="2"/>
        <v>60000000</v>
      </c>
      <c r="J57" s="33"/>
    </row>
    <row r="58" spans="1:10" ht="31.2" thickTop="1" thickBot="1" x14ac:dyDescent="0.35">
      <c r="A58" s="58" t="s">
        <v>124</v>
      </c>
      <c r="B58" s="32" t="s">
        <v>125</v>
      </c>
      <c r="C58" s="22">
        <f t="shared" ref="C58" si="22">12500000</f>
        <v>12500000</v>
      </c>
      <c r="D58" s="22">
        <v>19500000</v>
      </c>
      <c r="E58" s="22">
        <v>19500000</v>
      </c>
      <c r="F58" s="22">
        <v>19500000</v>
      </c>
      <c r="G58" s="22">
        <f t="shared" si="21"/>
        <v>71000000</v>
      </c>
      <c r="H58" s="22"/>
      <c r="I58" s="22">
        <f t="shared" si="2"/>
        <v>71000000</v>
      </c>
      <c r="J58" s="33"/>
    </row>
    <row r="59" spans="1:10" ht="31.2" thickTop="1" thickBot="1" x14ac:dyDescent="0.35">
      <c r="A59" s="59" t="s">
        <v>126</v>
      </c>
      <c r="B59" s="20" t="s">
        <v>127</v>
      </c>
      <c r="C59" s="22">
        <f>90000000/2/2</f>
        <v>22500000</v>
      </c>
      <c r="D59" s="22">
        <f>(0*470000000/2/2)+(45000000/2/2)</f>
        <v>11250000</v>
      </c>
      <c r="E59" s="22">
        <f>0*415000000/2/2</f>
        <v>0</v>
      </c>
      <c r="F59" s="22">
        <f>0*45000000/2/2</f>
        <v>0</v>
      </c>
      <c r="G59" s="22">
        <f t="shared" si="21"/>
        <v>33750000</v>
      </c>
      <c r="H59" s="22"/>
      <c r="I59" s="22">
        <f t="shared" si="2"/>
        <v>33750000</v>
      </c>
      <c r="J59" s="33"/>
    </row>
    <row r="60" spans="1:10" ht="31.2" thickTop="1" thickBot="1" x14ac:dyDescent="0.35">
      <c r="A60" s="58" t="s">
        <v>128</v>
      </c>
      <c r="B60" s="53" t="s">
        <v>129</v>
      </c>
      <c r="C60" s="25">
        <f>40000000-25000000</f>
        <v>15000000</v>
      </c>
      <c r="D60" s="25">
        <f>(52500000-30000000-7500000)+80000000</f>
        <v>95000000</v>
      </c>
      <c r="E60" s="25">
        <f>0+20000000</f>
        <v>20000000</v>
      </c>
      <c r="F60" s="25">
        <v>0</v>
      </c>
      <c r="G60" s="25">
        <f>SUM(C60:F60)</f>
        <v>130000000</v>
      </c>
      <c r="H60" s="25"/>
      <c r="I60" s="25">
        <f t="shared" si="2"/>
        <v>130000000</v>
      </c>
      <c r="J60" s="27" t="s">
        <v>19</v>
      </c>
    </row>
    <row r="61" spans="1:10" ht="31.2" thickTop="1" thickBot="1" x14ac:dyDescent="0.35">
      <c r="A61" s="58" t="s">
        <v>130</v>
      </c>
      <c r="B61" s="32" t="s">
        <v>131</v>
      </c>
      <c r="C61" s="22">
        <f>0*((40000000/2)-10000000)</f>
        <v>0</v>
      </c>
      <c r="D61" s="22">
        <f>(52500000/2)-16250000-10000000</f>
        <v>0</v>
      </c>
      <c r="E61" s="22">
        <v>0</v>
      </c>
      <c r="F61" s="22">
        <v>0</v>
      </c>
      <c r="G61" s="22">
        <f>SUM(C61:F61)</f>
        <v>0</v>
      </c>
      <c r="H61" s="22"/>
      <c r="I61" s="22">
        <f t="shared" si="2"/>
        <v>0</v>
      </c>
      <c r="J61" s="33"/>
    </row>
    <row r="62" spans="1:10" ht="46.2" thickTop="1" thickBot="1" x14ac:dyDescent="0.35">
      <c r="A62" s="36" t="s">
        <v>132</v>
      </c>
      <c r="B62" s="41" t="s">
        <v>133</v>
      </c>
      <c r="C62" s="22">
        <f>0*15000000</f>
        <v>0</v>
      </c>
      <c r="D62" s="22">
        <f>0*20000000</f>
        <v>0</v>
      </c>
      <c r="E62" s="22">
        <f>0*30000000</f>
        <v>0</v>
      </c>
      <c r="F62" s="22">
        <f>0</f>
        <v>0</v>
      </c>
      <c r="G62" s="21">
        <f>SUM(C62:F62)</f>
        <v>0</v>
      </c>
      <c r="H62" s="21"/>
      <c r="I62" s="21">
        <f t="shared" si="2"/>
        <v>0</v>
      </c>
      <c r="J62" s="23"/>
    </row>
    <row r="63" spans="1:10" ht="48" thickTop="1" thickBot="1" x14ac:dyDescent="0.35">
      <c r="A63" s="52" t="s">
        <v>134</v>
      </c>
      <c r="B63" s="16" t="s">
        <v>135</v>
      </c>
      <c r="C63" s="42">
        <f t="shared" ref="C63:H63" si="23">C64</f>
        <v>0</v>
      </c>
      <c r="D63" s="42">
        <f t="shared" si="23"/>
        <v>0</v>
      </c>
      <c r="E63" s="42">
        <f t="shared" si="23"/>
        <v>17500000</v>
      </c>
      <c r="F63" s="42">
        <f t="shared" si="23"/>
        <v>17500000</v>
      </c>
      <c r="G63" s="42">
        <f t="shared" si="23"/>
        <v>35000000</v>
      </c>
      <c r="H63" s="42">
        <f t="shared" si="23"/>
        <v>0</v>
      </c>
      <c r="I63" s="42">
        <f t="shared" si="2"/>
        <v>35000000</v>
      </c>
      <c r="J63" s="46"/>
    </row>
    <row r="64" spans="1:10" ht="46.2" thickTop="1" thickBot="1" x14ac:dyDescent="0.35">
      <c r="A64" s="19" t="s">
        <v>136</v>
      </c>
      <c r="B64" s="32" t="s">
        <v>137</v>
      </c>
      <c r="C64" s="22">
        <f>0/4</f>
        <v>0</v>
      </c>
      <c r="D64" s="22">
        <f>0/4</f>
        <v>0</v>
      </c>
      <c r="E64" s="22">
        <f>17500000</f>
        <v>17500000</v>
      </c>
      <c r="F64" s="22">
        <f>17500000</f>
        <v>17500000</v>
      </c>
      <c r="G64" s="60">
        <f>SUM(C64:F64)</f>
        <v>35000000</v>
      </c>
      <c r="H64" s="60"/>
      <c r="I64" s="60">
        <f t="shared" si="2"/>
        <v>35000000</v>
      </c>
      <c r="J64" s="61"/>
    </row>
    <row r="65" spans="1:10" ht="48" thickTop="1" thickBot="1" x14ac:dyDescent="0.35">
      <c r="A65" s="7" t="s">
        <v>138</v>
      </c>
      <c r="B65" s="8" t="s">
        <v>139</v>
      </c>
      <c r="C65" s="9">
        <f t="shared" ref="C65:H65" si="24">C66+C69+C73+C85+C89</f>
        <v>206509365</v>
      </c>
      <c r="D65" s="9">
        <f t="shared" si="24"/>
        <v>168889137.03333279</v>
      </c>
      <c r="E65" s="9">
        <f t="shared" si="24"/>
        <v>146652987.5</v>
      </c>
      <c r="F65" s="9">
        <f t="shared" si="24"/>
        <v>87487987.5</v>
      </c>
      <c r="G65" s="9">
        <f t="shared" si="24"/>
        <v>569539477.03333282</v>
      </c>
      <c r="H65" s="9">
        <f t="shared" si="24"/>
        <v>120000000</v>
      </c>
      <c r="I65" s="9">
        <f t="shared" si="2"/>
        <v>689539477.03333282</v>
      </c>
      <c r="J65" s="10"/>
    </row>
    <row r="66" spans="1:10" ht="63.6" thickTop="1" thickBot="1" x14ac:dyDescent="0.35">
      <c r="A66" s="54" t="s">
        <v>140</v>
      </c>
      <c r="B66" s="12" t="s">
        <v>141</v>
      </c>
      <c r="C66" s="13">
        <f t="shared" ref="C66:H66" si="25">C67</f>
        <v>18291000</v>
      </c>
      <c r="D66" s="13">
        <f t="shared" si="25"/>
        <v>18291000</v>
      </c>
      <c r="E66" s="13">
        <f t="shared" si="25"/>
        <v>18291000</v>
      </c>
      <c r="F66" s="13">
        <f t="shared" si="25"/>
        <v>18291000</v>
      </c>
      <c r="G66" s="13">
        <f t="shared" si="25"/>
        <v>73164000</v>
      </c>
      <c r="H66" s="13">
        <f t="shared" si="25"/>
        <v>0</v>
      </c>
      <c r="I66" s="13">
        <f t="shared" si="2"/>
        <v>73164000</v>
      </c>
      <c r="J66" s="14"/>
    </row>
    <row r="67" spans="1:10" ht="79.2" thickTop="1" thickBot="1" x14ac:dyDescent="0.35">
      <c r="A67" s="52" t="s">
        <v>142</v>
      </c>
      <c r="B67" s="16" t="s">
        <v>143</v>
      </c>
      <c r="C67" s="42">
        <f>SUM(C68)</f>
        <v>18291000</v>
      </c>
      <c r="D67" s="42">
        <f t="shared" ref="D67:F67" si="26">SUM(D68)</f>
        <v>18291000</v>
      </c>
      <c r="E67" s="42">
        <f t="shared" si="26"/>
        <v>18291000</v>
      </c>
      <c r="F67" s="42">
        <f t="shared" si="26"/>
        <v>18291000</v>
      </c>
      <c r="G67" s="42">
        <f>SUM(G68)</f>
        <v>73164000</v>
      </c>
      <c r="H67" s="42">
        <f>SUM(H68)</f>
        <v>0</v>
      </c>
      <c r="I67" s="42">
        <f t="shared" ref="I67:I111" si="27">G67+H67</f>
        <v>73164000</v>
      </c>
      <c r="J67" s="46"/>
    </row>
    <row r="68" spans="1:10" ht="31.2" thickTop="1" thickBot="1" x14ac:dyDescent="0.35">
      <c r="A68" s="19" t="s">
        <v>144</v>
      </c>
      <c r="B68" s="32" t="s">
        <v>145</v>
      </c>
      <c r="C68" s="62">
        <f>G68/4</f>
        <v>18291000</v>
      </c>
      <c r="D68" s="62">
        <f>G68/4</f>
        <v>18291000</v>
      </c>
      <c r="E68" s="62">
        <f>G68/4</f>
        <v>18291000</v>
      </c>
      <c r="F68" s="62">
        <f>G68/4</f>
        <v>18291000</v>
      </c>
      <c r="G68" s="60">
        <v>73164000</v>
      </c>
      <c r="H68" s="60"/>
      <c r="I68" s="60">
        <f t="shared" si="27"/>
        <v>73164000</v>
      </c>
      <c r="J68" s="61"/>
    </row>
    <row r="69" spans="1:10" ht="48" thickTop="1" thickBot="1" x14ac:dyDescent="0.35">
      <c r="A69" s="54" t="s">
        <v>146</v>
      </c>
      <c r="B69" s="12" t="s">
        <v>147</v>
      </c>
      <c r="C69" s="13">
        <f t="shared" ref="C69:H69" si="28">C70</f>
        <v>10000000</v>
      </c>
      <c r="D69" s="13">
        <f t="shared" si="28"/>
        <v>10000000</v>
      </c>
      <c r="E69" s="13">
        <f t="shared" si="28"/>
        <v>10000000</v>
      </c>
      <c r="F69" s="13">
        <f t="shared" si="28"/>
        <v>10000000</v>
      </c>
      <c r="G69" s="13">
        <f t="shared" si="28"/>
        <v>40000000</v>
      </c>
      <c r="H69" s="13">
        <f t="shared" si="28"/>
        <v>0</v>
      </c>
      <c r="I69" s="13">
        <f t="shared" si="27"/>
        <v>40000000</v>
      </c>
      <c r="J69" s="14"/>
    </row>
    <row r="70" spans="1:10" ht="79.2" thickTop="1" thickBot="1" x14ac:dyDescent="0.35">
      <c r="A70" s="52" t="s">
        <v>148</v>
      </c>
      <c r="B70" s="16" t="s">
        <v>149</v>
      </c>
      <c r="C70" s="42">
        <f t="shared" ref="C70:H70" si="29">SUM(C71:C72)</f>
        <v>10000000</v>
      </c>
      <c r="D70" s="42">
        <f t="shared" si="29"/>
        <v>10000000</v>
      </c>
      <c r="E70" s="42">
        <f t="shared" si="29"/>
        <v>10000000</v>
      </c>
      <c r="F70" s="42">
        <f t="shared" si="29"/>
        <v>10000000</v>
      </c>
      <c r="G70" s="42">
        <f t="shared" si="29"/>
        <v>40000000</v>
      </c>
      <c r="H70" s="42">
        <f t="shared" si="29"/>
        <v>0</v>
      </c>
      <c r="I70" s="42">
        <f t="shared" si="27"/>
        <v>40000000</v>
      </c>
      <c r="J70" s="46"/>
    </row>
    <row r="71" spans="1:10" ht="31.2" thickTop="1" thickBot="1" x14ac:dyDescent="0.35">
      <c r="A71" s="19" t="s">
        <v>150</v>
      </c>
      <c r="B71" s="41" t="s">
        <v>151</v>
      </c>
      <c r="C71" s="44">
        <f>G71/4</f>
        <v>10000000</v>
      </c>
      <c r="D71" s="44">
        <f>G71/4</f>
        <v>10000000</v>
      </c>
      <c r="E71" s="44">
        <f>G71/4</f>
        <v>10000000</v>
      </c>
      <c r="F71" s="44">
        <f>G71/4</f>
        <v>10000000</v>
      </c>
      <c r="G71" s="21">
        <f>80000000/2</f>
        <v>40000000</v>
      </c>
      <c r="H71" s="21"/>
      <c r="I71" s="21">
        <f t="shared" si="27"/>
        <v>40000000</v>
      </c>
      <c r="J71" s="23"/>
    </row>
    <row r="72" spans="1:10" ht="31.2" thickTop="1" thickBot="1" x14ac:dyDescent="0.35">
      <c r="A72" s="47" t="s">
        <v>152</v>
      </c>
      <c r="B72" s="48" t="s">
        <v>153</v>
      </c>
      <c r="C72" s="44">
        <f>0*7000000</f>
        <v>0</v>
      </c>
      <c r="D72" s="44">
        <f>0*7000000</f>
        <v>0</v>
      </c>
      <c r="E72" s="22">
        <f>0/4</f>
        <v>0</v>
      </c>
      <c r="F72" s="22">
        <v>0</v>
      </c>
      <c r="G72" s="21">
        <f>SUM(C72:F72)</f>
        <v>0</v>
      </c>
      <c r="H72" s="21"/>
      <c r="I72" s="21">
        <f t="shared" si="27"/>
        <v>0</v>
      </c>
      <c r="J72" s="23"/>
    </row>
    <row r="73" spans="1:10" ht="32.4" thickTop="1" thickBot="1" x14ac:dyDescent="0.35">
      <c r="A73" s="54" t="s">
        <v>154</v>
      </c>
      <c r="B73" s="12" t="s">
        <v>155</v>
      </c>
      <c r="C73" s="13">
        <f t="shared" ref="C73:H73" si="30">C74</f>
        <v>124032565</v>
      </c>
      <c r="D73" s="13">
        <f t="shared" si="30"/>
        <v>96077337.033332795</v>
      </c>
      <c r="E73" s="13">
        <f t="shared" si="30"/>
        <v>56676187.5</v>
      </c>
      <c r="F73" s="13">
        <f t="shared" si="30"/>
        <v>17176187.5</v>
      </c>
      <c r="G73" s="13">
        <f t="shared" si="30"/>
        <v>253962277.03333279</v>
      </c>
      <c r="H73" s="13">
        <f t="shared" si="30"/>
        <v>120000000</v>
      </c>
      <c r="I73" s="13">
        <f t="shared" si="27"/>
        <v>373962277.03333282</v>
      </c>
      <c r="J73" s="14"/>
    </row>
    <row r="74" spans="1:10" ht="79.2" thickTop="1" thickBot="1" x14ac:dyDescent="0.35">
      <c r="A74" s="52" t="s">
        <v>156</v>
      </c>
      <c r="B74" s="16" t="s">
        <v>157</v>
      </c>
      <c r="C74" s="42">
        <f>SUM(C75:C84)</f>
        <v>124032565</v>
      </c>
      <c r="D74" s="42">
        <f t="shared" ref="D74:F74" si="31">SUM(D75:D84)</f>
        <v>96077337.033332795</v>
      </c>
      <c r="E74" s="42">
        <f t="shared" si="31"/>
        <v>56676187.5</v>
      </c>
      <c r="F74" s="42">
        <f t="shared" si="31"/>
        <v>17176187.5</v>
      </c>
      <c r="G74" s="42">
        <f>SUM(G75:G84)</f>
        <v>253962277.03333279</v>
      </c>
      <c r="H74" s="42">
        <f>SUM(H75:H84)</f>
        <v>120000000</v>
      </c>
      <c r="I74" s="42">
        <f t="shared" si="27"/>
        <v>373962277.03333282</v>
      </c>
      <c r="J74" s="46"/>
    </row>
    <row r="75" spans="1:10" ht="31.2" thickTop="1" thickBot="1" x14ac:dyDescent="0.35">
      <c r="A75" s="19" t="s">
        <v>158</v>
      </c>
      <c r="B75" s="32" t="s">
        <v>159</v>
      </c>
      <c r="C75" s="44">
        <v>17978750</v>
      </c>
      <c r="D75" s="22">
        <v>3078400</v>
      </c>
      <c r="E75" s="22">
        <f>24352375/2</f>
        <v>12176187.5</v>
      </c>
      <c r="F75" s="22">
        <f>24352375/2</f>
        <v>12176187.5</v>
      </c>
      <c r="G75" s="21">
        <f>SUM(C75:F75)</f>
        <v>45409525</v>
      </c>
      <c r="H75" s="21"/>
      <c r="I75" s="21">
        <f t="shared" si="27"/>
        <v>45409525</v>
      </c>
      <c r="J75" s="23"/>
    </row>
    <row r="76" spans="1:10" ht="31.2" thickTop="1" thickBot="1" x14ac:dyDescent="0.35">
      <c r="A76" s="63" t="s">
        <v>160</v>
      </c>
      <c r="B76" s="64" t="s">
        <v>161</v>
      </c>
      <c r="C76" s="44">
        <v>9500000</v>
      </c>
      <c r="D76" s="44">
        <f>0</f>
        <v>0</v>
      </c>
      <c r="E76" s="44">
        <v>9500000</v>
      </c>
      <c r="F76" s="22">
        <f>0</f>
        <v>0</v>
      </c>
      <c r="G76" s="21">
        <f t="shared" ref="G76:G82" si="32">SUM(C76:F76)</f>
        <v>19000000</v>
      </c>
      <c r="H76" s="21"/>
      <c r="I76" s="21">
        <f t="shared" si="27"/>
        <v>19000000</v>
      </c>
      <c r="J76" s="23"/>
    </row>
    <row r="77" spans="1:10" ht="46.2" thickTop="1" thickBot="1" x14ac:dyDescent="0.35">
      <c r="A77" s="96" t="s">
        <v>162</v>
      </c>
      <c r="B77" s="24" t="s">
        <v>163</v>
      </c>
      <c r="C77" s="25">
        <f>20000000/2</f>
        <v>10000000</v>
      </c>
      <c r="D77" s="25">
        <f>(50000000/2)+27998937.0333328 +20000000</f>
        <v>72998937.033332795</v>
      </c>
      <c r="E77" s="25">
        <f>30000000/2+20000000</f>
        <v>35000000</v>
      </c>
      <c r="F77" s="25">
        <f>10000000/2</f>
        <v>5000000</v>
      </c>
      <c r="G77" s="26">
        <f>SUM(C77:F77)-40000000</f>
        <v>82998937.033332795</v>
      </c>
      <c r="H77" s="30">
        <f>40000000+80000000</f>
        <v>120000000</v>
      </c>
      <c r="I77" s="25">
        <f t="shared" si="27"/>
        <v>202998937.03333279</v>
      </c>
      <c r="J77" s="95" t="s">
        <v>245</v>
      </c>
    </row>
    <row r="78" spans="1:10" ht="46.2" thickTop="1" thickBot="1" x14ac:dyDescent="0.35">
      <c r="A78" s="50" t="s">
        <v>164</v>
      </c>
      <c r="B78" s="20" t="s">
        <v>165</v>
      </c>
      <c r="C78" s="22">
        <v>11500000</v>
      </c>
      <c r="D78" s="22">
        <v>0</v>
      </c>
      <c r="E78" s="22">
        <f>0/4</f>
        <v>0</v>
      </c>
      <c r="F78" s="22">
        <v>0</v>
      </c>
      <c r="G78" s="21">
        <f t="shared" si="32"/>
        <v>11500000</v>
      </c>
      <c r="H78" s="21"/>
      <c r="I78" s="21">
        <f t="shared" si="27"/>
        <v>11500000</v>
      </c>
      <c r="J78" s="23"/>
    </row>
    <row r="79" spans="1:10" ht="46.2" thickTop="1" thickBot="1" x14ac:dyDescent="0.35">
      <c r="A79" s="19" t="s">
        <v>166</v>
      </c>
      <c r="B79" s="20" t="s">
        <v>167</v>
      </c>
      <c r="C79" s="22">
        <f>10000000</f>
        <v>10000000</v>
      </c>
      <c r="D79" s="22">
        <v>0</v>
      </c>
      <c r="E79" s="22">
        <f>0/4</f>
        <v>0</v>
      </c>
      <c r="F79" s="22">
        <v>0</v>
      </c>
      <c r="G79" s="21">
        <f t="shared" si="32"/>
        <v>10000000</v>
      </c>
      <c r="H79" s="21"/>
      <c r="I79" s="21">
        <f t="shared" si="27"/>
        <v>10000000</v>
      </c>
      <c r="J79" s="23"/>
    </row>
    <row r="80" spans="1:10" ht="61.2" thickTop="1" thickBot="1" x14ac:dyDescent="0.35">
      <c r="A80" s="50" t="s">
        <v>168</v>
      </c>
      <c r="B80" s="20" t="s">
        <v>169</v>
      </c>
      <c r="C80" s="22">
        <f>0*15000000</f>
        <v>0</v>
      </c>
      <c r="D80" s="22">
        <f>0*10300000</f>
        <v>0</v>
      </c>
      <c r="E80" s="22">
        <f>0*(23850000+850000)</f>
        <v>0</v>
      </c>
      <c r="F80" s="22">
        <f>0</f>
        <v>0</v>
      </c>
      <c r="G80" s="21">
        <f>SUM(C80:F80)</f>
        <v>0</v>
      </c>
      <c r="H80" s="21"/>
      <c r="I80" s="21">
        <f t="shared" si="27"/>
        <v>0</v>
      </c>
      <c r="J80" s="23"/>
    </row>
    <row r="81" spans="1:10" ht="31.2" thickTop="1" thickBot="1" x14ac:dyDescent="0.35">
      <c r="A81" s="19" t="s">
        <v>170</v>
      </c>
      <c r="B81" s="32" t="s">
        <v>171</v>
      </c>
      <c r="C81" s="22">
        <f>25000000*0</f>
        <v>0</v>
      </c>
      <c r="D81" s="22">
        <f t="shared" ref="D81:F81" si="33">25000000*0</f>
        <v>0</v>
      </c>
      <c r="E81" s="22">
        <f t="shared" si="33"/>
        <v>0</v>
      </c>
      <c r="F81" s="22">
        <f t="shared" si="33"/>
        <v>0</v>
      </c>
      <c r="G81" s="21">
        <f>SUM(C81:F81)</f>
        <v>0</v>
      </c>
      <c r="H81" s="21"/>
      <c r="I81" s="21">
        <f t="shared" si="27"/>
        <v>0</v>
      </c>
      <c r="J81" s="23"/>
    </row>
    <row r="82" spans="1:10" ht="16.2" thickTop="1" thickBot="1" x14ac:dyDescent="0.35">
      <c r="A82" s="50" t="s">
        <v>172</v>
      </c>
      <c r="B82" s="32" t="s">
        <v>173</v>
      </c>
      <c r="C82" s="22">
        <f>10000000+68053815-28000000</f>
        <v>50053815</v>
      </c>
      <c r="D82" s="22">
        <f>0</f>
        <v>0</v>
      </c>
      <c r="E82" s="22">
        <f>0</f>
        <v>0</v>
      </c>
      <c r="F82" s="22">
        <v>0</v>
      </c>
      <c r="G82" s="21">
        <f t="shared" si="32"/>
        <v>50053815</v>
      </c>
      <c r="H82" s="21"/>
      <c r="I82" s="21">
        <f t="shared" si="27"/>
        <v>50053815</v>
      </c>
      <c r="J82" s="23"/>
    </row>
    <row r="83" spans="1:10" ht="46.2" thickTop="1" thickBot="1" x14ac:dyDescent="0.35">
      <c r="A83" s="50" t="s">
        <v>174</v>
      </c>
      <c r="B83" s="32" t="s">
        <v>175</v>
      </c>
      <c r="C83" s="22">
        <f>0</f>
        <v>0</v>
      </c>
      <c r="D83" s="22">
        <f>30000000-10000000</f>
        <v>20000000</v>
      </c>
      <c r="E83" s="22">
        <f>0</f>
        <v>0</v>
      </c>
      <c r="F83" s="22">
        <f>0</f>
        <v>0</v>
      </c>
      <c r="G83" s="21">
        <f>SUM(C83:F83)</f>
        <v>20000000</v>
      </c>
      <c r="H83" s="21"/>
      <c r="I83" s="21">
        <f t="shared" si="27"/>
        <v>20000000</v>
      </c>
      <c r="J83" s="23"/>
    </row>
    <row r="84" spans="1:10" ht="61.2" thickTop="1" thickBot="1" x14ac:dyDescent="0.35">
      <c r="A84" s="65" t="s">
        <v>176</v>
      </c>
      <c r="B84" s="41" t="s">
        <v>177</v>
      </c>
      <c r="C84" s="22">
        <f>15000000</f>
        <v>15000000</v>
      </c>
      <c r="D84" s="22">
        <f>0</f>
        <v>0</v>
      </c>
      <c r="E84" s="22">
        <f>0</f>
        <v>0</v>
      </c>
      <c r="F84" s="22">
        <f>0</f>
        <v>0</v>
      </c>
      <c r="G84" s="21">
        <f>SUM(C84:F84)</f>
        <v>15000000</v>
      </c>
      <c r="H84" s="21"/>
      <c r="I84" s="21">
        <f t="shared" si="27"/>
        <v>15000000</v>
      </c>
      <c r="J84" s="23"/>
    </row>
    <row r="85" spans="1:10" ht="32.4" thickTop="1" thickBot="1" x14ac:dyDescent="0.35">
      <c r="A85" s="54" t="s">
        <v>178</v>
      </c>
      <c r="B85" s="12" t="s">
        <v>179</v>
      </c>
      <c r="C85" s="13">
        <f t="shared" ref="C85:F85" si="34">C86</f>
        <v>11694550</v>
      </c>
      <c r="D85" s="13">
        <f t="shared" si="34"/>
        <v>11694550</v>
      </c>
      <c r="E85" s="13">
        <f t="shared" si="34"/>
        <v>19194550</v>
      </c>
      <c r="F85" s="13">
        <f t="shared" si="34"/>
        <v>9194550</v>
      </c>
      <c r="G85" s="13">
        <f>G86</f>
        <v>51778200</v>
      </c>
      <c r="H85" s="13">
        <f>H86</f>
        <v>0</v>
      </c>
      <c r="I85" s="13">
        <f t="shared" si="27"/>
        <v>51778200</v>
      </c>
      <c r="J85" s="14"/>
    </row>
    <row r="86" spans="1:10" ht="32.4" thickTop="1" thickBot="1" x14ac:dyDescent="0.35">
      <c r="A86" s="52" t="s">
        <v>180</v>
      </c>
      <c r="B86" s="16" t="s">
        <v>181</v>
      </c>
      <c r="C86" s="42">
        <f>C88+C87</f>
        <v>11694550</v>
      </c>
      <c r="D86" s="42">
        <f t="shared" ref="D86:F86" si="35">D88+D87</f>
        <v>11694550</v>
      </c>
      <c r="E86" s="42">
        <f t="shared" si="35"/>
        <v>19194550</v>
      </c>
      <c r="F86" s="42">
        <f t="shared" si="35"/>
        <v>9194550</v>
      </c>
      <c r="G86" s="42">
        <f>G88+G87</f>
        <v>51778200</v>
      </c>
      <c r="H86" s="42">
        <f>H88+H87</f>
        <v>0</v>
      </c>
      <c r="I86" s="42">
        <f t="shared" si="27"/>
        <v>51778200</v>
      </c>
      <c r="J86" s="46"/>
    </row>
    <row r="87" spans="1:10" ht="31.2" thickTop="1" thickBot="1" x14ac:dyDescent="0.35">
      <c r="A87" s="19" t="s">
        <v>182</v>
      </c>
      <c r="B87" s="32" t="s">
        <v>183</v>
      </c>
      <c r="C87" s="22">
        <f>7153500+2041050+2500000</f>
        <v>11694550</v>
      </c>
      <c r="D87" s="22">
        <f>7153500+2041050+2500000</f>
        <v>11694550</v>
      </c>
      <c r="E87" s="22">
        <f t="shared" ref="E87:F87" si="36">7153500+2041050</f>
        <v>9194550</v>
      </c>
      <c r="F87" s="22">
        <f t="shared" si="36"/>
        <v>9194550</v>
      </c>
      <c r="G87" s="60">
        <f>SUM(C87:F87)</f>
        <v>41778200</v>
      </c>
      <c r="H87" s="60"/>
      <c r="I87" s="60">
        <f t="shared" si="27"/>
        <v>41778200</v>
      </c>
      <c r="J87" s="61"/>
    </row>
    <row r="88" spans="1:10" ht="31.2" thickTop="1" thickBot="1" x14ac:dyDescent="0.35">
      <c r="A88" s="58" t="s">
        <v>184</v>
      </c>
      <c r="B88" s="32" t="s">
        <v>185</v>
      </c>
      <c r="C88" s="66">
        <f>0</f>
        <v>0</v>
      </c>
      <c r="D88" s="66">
        <f>0</f>
        <v>0</v>
      </c>
      <c r="E88" s="22">
        <v>10000000</v>
      </c>
      <c r="F88" s="66">
        <f>0</f>
        <v>0</v>
      </c>
      <c r="G88" s="22">
        <f>SUM(C88:F88)</f>
        <v>10000000</v>
      </c>
      <c r="H88" s="22"/>
      <c r="I88" s="22">
        <f t="shared" si="27"/>
        <v>10000000</v>
      </c>
      <c r="J88" s="33"/>
    </row>
    <row r="89" spans="1:10" ht="16.8" thickTop="1" thickBot="1" x14ac:dyDescent="0.35">
      <c r="A89" s="54" t="s">
        <v>186</v>
      </c>
      <c r="B89" s="12" t="s">
        <v>187</v>
      </c>
      <c r="C89" s="13">
        <f t="shared" ref="C89:H89" si="37">C90+C92</f>
        <v>42491250</v>
      </c>
      <c r="D89" s="13">
        <f t="shared" si="37"/>
        <v>32826250</v>
      </c>
      <c r="E89" s="13">
        <f t="shared" si="37"/>
        <v>42491250</v>
      </c>
      <c r="F89" s="13">
        <f t="shared" si="37"/>
        <v>32826250</v>
      </c>
      <c r="G89" s="13">
        <f t="shared" si="37"/>
        <v>150635000</v>
      </c>
      <c r="H89" s="13">
        <f t="shared" si="37"/>
        <v>0</v>
      </c>
      <c r="I89" s="13">
        <f t="shared" si="27"/>
        <v>150635000</v>
      </c>
      <c r="J89" s="14"/>
    </row>
    <row r="90" spans="1:10" ht="48" thickTop="1" thickBot="1" x14ac:dyDescent="0.35">
      <c r="A90" s="52" t="s">
        <v>188</v>
      </c>
      <c r="B90" s="16" t="s">
        <v>189</v>
      </c>
      <c r="C90" s="42">
        <f t="shared" ref="C90:H90" si="38">C91</f>
        <v>21665000</v>
      </c>
      <c r="D90" s="42">
        <f t="shared" si="38"/>
        <v>12000000</v>
      </c>
      <c r="E90" s="42">
        <f t="shared" si="38"/>
        <v>21665000</v>
      </c>
      <c r="F90" s="42">
        <f t="shared" si="38"/>
        <v>12000000</v>
      </c>
      <c r="G90" s="42">
        <f t="shared" si="38"/>
        <v>67330000</v>
      </c>
      <c r="H90" s="42">
        <f t="shared" si="38"/>
        <v>0</v>
      </c>
      <c r="I90" s="42">
        <f t="shared" si="27"/>
        <v>67330000</v>
      </c>
      <c r="J90" s="46"/>
    </row>
    <row r="91" spans="1:10" ht="46.2" thickTop="1" thickBot="1" x14ac:dyDescent="0.35">
      <c r="A91" s="19" t="s">
        <v>190</v>
      </c>
      <c r="B91" s="41" t="s">
        <v>191</v>
      </c>
      <c r="C91" s="22">
        <f>(16650000/10)+20000000</f>
        <v>21665000</v>
      </c>
      <c r="D91" s="22">
        <f>12000000</f>
        <v>12000000</v>
      </c>
      <c r="E91" s="22">
        <f>(16650000/10)+20000000</f>
        <v>21665000</v>
      </c>
      <c r="F91" s="22">
        <f>12000000</f>
        <v>12000000</v>
      </c>
      <c r="G91" s="60">
        <f>SUM(C91:F91)</f>
        <v>67330000</v>
      </c>
      <c r="H91" s="60"/>
      <c r="I91" s="60">
        <f t="shared" si="27"/>
        <v>67330000</v>
      </c>
      <c r="J91" s="61"/>
    </row>
    <row r="92" spans="1:10" ht="32.4" thickTop="1" thickBot="1" x14ac:dyDescent="0.35">
      <c r="A92" s="52" t="s">
        <v>192</v>
      </c>
      <c r="B92" s="16" t="s">
        <v>193</v>
      </c>
      <c r="C92" s="42">
        <f t="shared" ref="C92:H92" si="39">C93</f>
        <v>20826250</v>
      </c>
      <c r="D92" s="42">
        <f t="shared" si="39"/>
        <v>20826250</v>
      </c>
      <c r="E92" s="42">
        <f t="shared" si="39"/>
        <v>20826250</v>
      </c>
      <c r="F92" s="42">
        <f t="shared" si="39"/>
        <v>20826250</v>
      </c>
      <c r="G92" s="42">
        <f t="shared" si="39"/>
        <v>83305000</v>
      </c>
      <c r="H92" s="42">
        <f t="shared" si="39"/>
        <v>0</v>
      </c>
      <c r="I92" s="42">
        <f t="shared" si="27"/>
        <v>83305000</v>
      </c>
      <c r="J92" s="46"/>
    </row>
    <row r="93" spans="1:10" ht="31.2" thickTop="1" thickBot="1" x14ac:dyDescent="0.35">
      <c r="A93" s="19" t="s">
        <v>194</v>
      </c>
      <c r="B93" s="32" t="s">
        <v>195</v>
      </c>
      <c r="C93" s="44">
        <f>(35000000+6652500)/2</f>
        <v>20826250</v>
      </c>
      <c r="D93" s="44">
        <f>(35000000+6652500)/2</f>
        <v>20826250</v>
      </c>
      <c r="E93" s="44">
        <f>(35000000+6652500)/2</f>
        <v>20826250</v>
      </c>
      <c r="F93" s="44">
        <f>(35000000+6652500)/2</f>
        <v>20826250</v>
      </c>
      <c r="G93" s="21">
        <f>SUM(C93:F93)</f>
        <v>83305000</v>
      </c>
      <c r="H93" s="21"/>
      <c r="I93" s="21">
        <f t="shared" si="27"/>
        <v>83305000</v>
      </c>
      <c r="J93" s="23"/>
    </row>
    <row r="94" spans="1:10" ht="16.8" thickTop="1" thickBot="1" x14ac:dyDescent="0.35">
      <c r="A94" s="7" t="s">
        <v>196</v>
      </c>
      <c r="B94" s="8" t="s">
        <v>197</v>
      </c>
      <c r="C94" s="67">
        <f t="shared" ref="C94:H94" si="40">C95</f>
        <v>616262466</v>
      </c>
      <c r="D94" s="67">
        <f t="shared" si="40"/>
        <v>606039168.5</v>
      </c>
      <c r="E94" s="67">
        <f t="shared" si="40"/>
        <v>334516652</v>
      </c>
      <c r="F94" s="67">
        <f t="shared" si="40"/>
        <v>3626733333</v>
      </c>
      <c r="G94" s="67">
        <f t="shared" si="40"/>
        <v>5181991619.5</v>
      </c>
      <c r="H94" s="67">
        <f t="shared" si="40"/>
        <v>-1913765755.3333302</v>
      </c>
      <c r="I94" s="67">
        <f t="shared" si="27"/>
        <v>3268225864.1666698</v>
      </c>
      <c r="J94" s="68"/>
    </row>
    <row r="95" spans="1:10" ht="32.4" thickTop="1" thickBot="1" x14ac:dyDescent="0.35">
      <c r="A95" s="54" t="s">
        <v>198</v>
      </c>
      <c r="B95" s="12" t="s">
        <v>199</v>
      </c>
      <c r="C95" s="13">
        <f t="shared" ref="C95:H95" si="41">C96+C99</f>
        <v>616262466</v>
      </c>
      <c r="D95" s="13">
        <f t="shared" si="41"/>
        <v>606039168.5</v>
      </c>
      <c r="E95" s="13">
        <f t="shared" si="41"/>
        <v>334516652</v>
      </c>
      <c r="F95" s="13">
        <f t="shared" si="41"/>
        <v>3626733333</v>
      </c>
      <c r="G95" s="13">
        <f t="shared" si="41"/>
        <v>5181991619.5</v>
      </c>
      <c r="H95" s="13">
        <f t="shared" si="41"/>
        <v>-1913765755.3333302</v>
      </c>
      <c r="I95" s="13">
        <f t="shared" si="27"/>
        <v>3268225864.1666698</v>
      </c>
      <c r="J95" s="14"/>
    </row>
    <row r="96" spans="1:10" ht="48" thickTop="1" thickBot="1" x14ac:dyDescent="0.35">
      <c r="A96" s="52" t="s">
        <v>200</v>
      </c>
      <c r="B96" s="16" t="s">
        <v>201</v>
      </c>
      <c r="C96" s="42">
        <f t="shared" ref="C96:H96" si="42">SUM(C97:C98)</f>
        <v>272512466</v>
      </c>
      <c r="D96" s="42">
        <f t="shared" si="42"/>
        <v>251039168.5</v>
      </c>
      <c r="E96" s="42">
        <f t="shared" si="42"/>
        <v>186641652</v>
      </c>
      <c r="F96" s="42">
        <f t="shared" si="42"/>
        <v>3539533333</v>
      </c>
      <c r="G96" s="42">
        <f t="shared" si="42"/>
        <v>4248166619.5</v>
      </c>
      <c r="H96" s="42">
        <f t="shared" si="42"/>
        <v>-3160765755.3333302</v>
      </c>
      <c r="I96" s="42">
        <f t="shared" si="27"/>
        <v>1087400864.1666698</v>
      </c>
      <c r="J96" s="46"/>
    </row>
    <row r="97" spans="1:10" ht="63.6" thickTop="1" thickBot="1" x14ac:dyDescent="0.35">
      <c r="A97" s="36" t="s">
        <v>202</v>
      </c>
      <c r="B97" s="37" t="s">
        <v>203</v>
      </c>
      <c r="C97" s="38">
        <f>((300000000 +500000000+485000000-500000000)*0)+ 160447466-(1560000)</f>
        <v>158887466</v>
      </c>
      <c r="D97" s="38">
        <f>(((550000000+250000000+160000000+64508669+(2*24999999)+648150.533332825-500000000)+100000000)*0)+134219141+1560000</f>
        <v>135779141</v>
      </c>
      <c r="E97" s="38">
        <f>(((500000000+659000000)+100000000)*0+94016652)</f>
        <v>94016652</v>
      </c>
      <c r="F97" s="69">
        <f>((((517700000+82300000+496792667+6483750)/2)+100000000)*0)+3524533333</f>
        <v>3524533333</v>
      </c>
      <c r="G97" s="39">
        <f>SUM(C97:F97)-1560000</f>
        <v>3911656592</v>
      </c>
      <c r="H97" s="69">
        <f>-3000000000-130765755.33333-80000000</f>
        <v>-3210765755.3333302</v>
      </c>
      <c r="I97" s="39">
        <f t="shared" si="27"/>
        <v>700890836.66666985</v>
      </c>
      <c r="J97" s="40" t="s">
        <v>244</v>
      </c>
    </row>
    <row r="98" spans="1:10" ht="48" thickTop="1" thickBot="1" x14ac:dyDescent="0.35">
      <c r="A98" s="19" t="s">
        <v>204</v>
      </c>
      <c r="B98" s="37" t="s">
        <v>205</v>
      </c>
      <c r="C98" s="38">
        <f>(27250000/2)+100000000</f>
        <v>113625000</v>
      </c>
      <c r="D98" s="38">
        <f>(610401100/20/2)+100000000</f>
        <v>115260027.5</v>
      </c>
      <c r="E98" s="38">
        <f>(218000000/8/2)+79000000</f>
        <v>92625000</v>
      </c>
      <c r="F98" s="38">
        <f>30000000/2</f>
        <v>15000000</v>
      </c>
      <c r="G98" s="39">
        <f>SUM(C98:F98)</f>
        <v>336510027.5</v>
      </c>
      <c r="H98" s="30">
        <v>50000000</v>
      </c>
      <c r="I98" s="39">
        <f t="shared" si="27"/>
        <v>386510027.5</v>
      </c>
      <c r="J98" s="40" t="s">
        <v>206</v>
      </c>
    </row>
    <row r="99" spans="1:10" ht="48" thickTop="1" thickBot="1" x14ac:dyDescent="0.35">
      <c r="A99" s="52" t="s">
        <v>207</v>
      </c>
      <c r="B99" s="16" t="s">
        <v>208</v>
      </c>
      <c r="C99" s="42">
        <f>SUM(C100:C107)</f>
        <v>343750000</v>
      </c>
      <c r="D99" s="42">
        <f>SUM(D100:D107)</f>
        <v>355000000</v>
      </c>
      <c r="E99" s="42">
        <f>SUM(E100:E107)</f>
        <v>147875000</v>
      </c>
      <c r="F99" s="42">
        <f>SUM(F100:F107)</f>
        <v>87200000</v>
      </c>
      <c r="G99" s="42">
        <f>SUM(G100:G108)</f>
        <v>933825000</v>
      </c>
      <c r="H99" s="42">
        <f>SUM(H100:H108)</f>
        <v>1247000000</v>
      </c>
      <c r="I99" s="42">
        <f t="shared" si="27"/>
        <v>2180825000</v>
      </c>
      <c r="J99" s="46"/>
    </row>
    <row r="100" spans="1:10" ht="16.2" thickTop="1" thickBot="1" x14ac:dyDescent="0.35">
      <c r="A100" s="19" t="s">
        <v>209</v>
      </c>
      <c r="B100" s="32" t="s">
        <v>210</v>
      </c>
      <c r="C100" s="22">
        <f>10000000</f>
        <v>10000000</v>
      </c>
      <c r="D100" s="22">
        <f>10000000</f>
        <v>10000000</v>
      </c>
      <c r="E100" s="22">
        <f>47500000/4</f>
        <v>11875000</v>
      </c>
      <c r="F100" s="22">
        <f>28800000/4</f>
        <v>7200000</v>
      </c>
      <c r="G100" s="21">
        <f>SUM(C100:F100)</f>
        <v>39075000</v>
      </c>
      <c r="H100" s="21"/>
      <c r="I100" s="21">
        <f t="shared" si="27"/>
        <v>39075000</v>
      </c>
      <c r="J100" s="23"/>
    </row>
    <row r="101" spans="1:10" ht="48" thickTop="1" thickBot="1" x14ac:dyDescent="0.35">
      <c r="A101" s="19" t="s">
        <v>211</v>
      </c>
      <c r="B101" s="37" t="s">
        <v>212</v>
      </c>
      <c r="C101" s="38">
        <f>220000000+100000000</f>
        <v>320000000</v>
      </c>
      <c r="D101" s="38">
        <f>0+300000000</f>
        <v>300000000</v>
      </c>
      <c r="E101" s="38">
        <f>0+100000000</f>
        <v>100000000</v>
      </c>
      <c r="F101" s="38">
        <f>0+80000000</f>
        <v>80000000</v>
      </c>
      <c r="G101" s="39">
        <f>SUM(C101:F101)</f>
        <v>800000000</v>
      </c>
      <c r="H101" s="30">
        <f>100000000</f>
        <v>100000000</v>
      </c>
      <c r="I101" s="39">
        <f t="shared" si="27"/>
        <v>900000000</v>
      </c>
      <c r="J101" s="40" t="s">
        <v>213</v>
      </c>
    </row>
    <row r="102" spans="1:10" ht="61.2" thickTop="1" thickBot="1" x14ac:dyDescent="0.35">
      <c r="A102" s="19" t="s">
        <v>214</v>
      </c>
      <c r="B102" s="32" t="s">
        <v>215</v>
      </c>
      <c r="C102" s="22">
        <f>5272500*0</f>
        <v>0</v>
      </c>
      <c r="D102" s="22">
        <f>12303500*0</f>
        <v>0</v>
      </c>
      <c r="E102" s="22">
        <f>0*16200000/4</f>
        <v>0</v>
      </c>
      <c r="F102" s="22">
        <f>0*45000000/4</f>
        <v>0</v>
      </c>
      <c r="G102" s="21">
        <f t="shared" ref="G102:G105" si="43">SUM(C102:F102)</f>
        <v>0</v>
      </c>
      <c r="H102" s="21"/>
      <c r="I102" s="21">
        <f t="shared" si="27"/>
        <v>0</v>
      </c>
      <c r="J102" s="23"/>
    </row>
    <row r="103" spans="1:10" ht="46.2" thickTop="1" thickBot="1" x14ac:dyDescent="0.35">
      <c r="A103" s="19" t="s">
        <v>216</v>
      </c>
      <c r="B103" s="41" t="s">
        <v>217</v>
      </c>
      <c r="C103" s="22">
        <f>27500000/2</f>
        <v>13750000</v>
      </c>
      <c r="D103" s="22">
        <f>0*24500000/2</f>
        <v>0</v>
      </c>
      <c r="E103" s="22">
        <f>11000000</f>
        <v>11000000</v>
      </c>
      <c r="F103" s="22">
        <f>0*11120950/2</f>
        <v>0</v>
      </c>
      <c r="G103" s="21">
        <f>SUM(C103:F103)</f>
        <v>24750000</v>
      </c>
      <c r="H103" s="21"/>
      <c r="I103" s="21">
        <f t="shared" si="27"/>
        <v>24750000</v>
      </c>
      <c r="J103" s="23"/>
    </row>
    <row r="104" spans="1:10" ht="31.2" thickTop="1" thickBot="1" x14ac:dyDescent="0.35">
      <c r="A104" s="58" t="s">
        <v>218</v>
      </c>
      <c r="B104" s="32" t="s">
        <v>219</v>
      </c>
      <c r="C104" s="22">
        <f>0*25000000</f>
        <v>0</v>
      </c>
      <c r="D104" s="22">
        <f>0*15000000</f>
        <v>0</v>
      </c>
      <c r="E104" s="22">
        <f>0*10000000</f>
        <v>0</v>
      </c>
      <c r="F104" s="21">
        <v>0</v>
      </c>
      <c r="G104" s="21">
        <f>SUM(C104:F104)</f>
        <v>0</v>
      </c>
      <c r="H104" s="21"/>
      <c r="I104" s="21">
        <f t="shared" si="27"/>
        <v>0</v>
      </c>
      <c r="J104" s="23"/>
    </row>
    <row r="105" spans="1:10" ht="31.2" thickTop="1" thickBot="1" x14ac:dyDescent="0.35">
      <c r="A105" s="19" t="s">
        <v>220</v>
      </c>
      <c r="B105" s="41" t="s">
        <v>221</v>
      </c>
      <c r="C105" s="22">
        <f>0</f>
        <v>0</v>
      </c>
      <c r="D105" s="22">
        <f>0</f>
        <v>0</v>
      </c>
      <c r="E105" s="22">
        <f>0*((31650000/2)+10000000)</f>
        <v>0</v>
      </c>
      <c r="F105" s="22">
        <f>0*((31650000/2)+10000000)</f>
        <v>0</v>
      </c>
      <c r="G105" s="21">
        <f t="shared" si="43"/>
        <v>0</v>
      </c>
      <c r="H105" s="21"/>
      <c r="I105" s="21">
        <f t="shared" si="27"/>
        <v>0</v>
      </c>
      <c r="J105" s="23"/>
    </row>
    <row r="106" spans="1:10" ht="61.2" thickTop="1" thickBot="1" x14ac:dyDescent="0.35">
      <c r="A106" s="19" t="s">
        <v>222</v>
      </c>
      <c r="B106" s="20" t="s">
        <v>223</v>
      </c>
      <c r="C106" s="22">
        <f>0*35000000</f>
        <v>0</v>
      </c>
      <c r="D106" s="22">
        <f>0*15000000</f>
        <v>0</v>
      </c>
      <c r="E106" s="22">
        <f>0*15000000</f>
        <v>0</v>
      </c>
      <c r="F106" s="22">
        <f>0*7000000</f>
        <v>0</v>
      </c>
      <c r="G106" s="21">
        <f>SUM(C106:F106)</f>
        <v>0</v>
      </c>
      <c r="H106" s="21"/>
      <c r="I106" s="21">
        <f t="shared" si="27"/>
        <v>0</v>
      </c>
      <c r="J106" s="23"/>
    </row>
    <row r="107" spans="1:10" ht="48" thickTop="1" thickBot="1" x14ac:dyDescent="0.35">
      <c r="A107" s="36" t="s">
        <v>224</v>
      </c>
      <c r="B107" s="70" t="s">
        <v>225</v>
      </c>
      <c r="C107" s="38">
        <f>0*35000000/2</f>
        <v>0</v>
      </c>
      <c r="D107" s="38">
        <f>(0*45000000/2)+45000000</f>
        <v>45000000</v>
      </c>
      <c r="E107" s="38">
        <f>(0*11500000/2)+25000000</f>
        <v>25000000</v>
      </c>
      <c r="F107" s="38">
        <v>0</v>
      </c>
      <c r="G107" s="39">
        <f>SUM(C107:F107)</f>
        <v>70000000</v>
      </c>
      <c r="H107" s="39"/>
      <c r="I107" s="39">
        <f t="shared" si="27"/>
        <v>70000000</v>
      </c>
      <c r="J107" s="40" t="s">
        <v>19</v>
      </c>
    </row>
    <row r="108" spans="1:10" ht="126" thickTop="1" thickBot="1" x14ac:dyDescent="0.35">
      <c r="A108" s="36" t="s">
        <v>226</v>
      </c>
      <c r="B108" s="70" t="s">
        <v>227</v>
      </c>
      <c r="C108" s="38"/>
      <c r="D108" s="38"/>
      <c r="E108" s="38"/>
      <c r="F108" s="38"/>
      <c r="G108" s="39"/>
      <c r="H108" s="30">
        <f>1147000000</f>
        <v>1147000000</v>
      </c>
      <c r="I108" s="39">
        <f t="shared" si="27"/>
        <v>1147000000</v>
      </c>
      <c r="J108" s="40" t="s">
        <v>238</v>
      </c>
    </row>
    <row r="109" spans="1:10" ht="16.8" thickTop="1" thickBot="1" x14ac:dyDescent="0.35">
      <c r="A109" s="7" t="s">
        <v>228</v>
      </c>
      <c r="B109" s="8" t="s">
        <v>229</v>
      </c>
      <c r="C109" s="9">
        <f t="shared" ref="C109:F110" si="44">C110</f>
        <v>129987454</v>
      </c>
      <c r="D109" s="9">
        <f t="shared" si="44"/>
        <v>128153151</v>
      </c>
      <c r="E109" s="9">
        <f t="shared" si="44"/>
        <v>138836199.40000001</v>
      </c>
      <c r="F109" s="9">
        <f t="shared" si="44"/>
        <v>135937425.40000001</v>
      </c>
      <c r="G109" s="9">
        <f>G110</f>
        <v>532914229.79999995</v>
      </c>
      <c r="H109" s="9">
        <f>H110</f>
        <v>0</v>
      </c>
      <c r="I109" s="9">
        <f t="shared" si="27"/>
        <v>532914229.79999995</v>
      </c>
      <c r="J109" s="10"/>
    </row>
    <row r="110" spans="1:10" ht="16.8" thickTop="1" thickBot="1" x14ac:dyDescent="0.35">
      <c r="A110" s="54" t="s">
        <v>230</v>
      </c>
      <c r="B110" s="71" t="s">
        <v>231</v>
      </c>
      <c r="C110" s="13">
        <f t="shared" si="44"/>
        <v>129987454</v>
      </c>
      <c r="D110" s="13">
        <f t="shared" si="44"/>
        <v>128153151</v>
      </c>
      <c r="E110" s="13">
        <f t="shared" si="44"/>
        <v>138836199.40000001</v>
      </c>
      <c r="F110" s="13">
        <f t="shared" si="44"/>
        <v>135937425.40000001</v>
      </c>
      <c r="G110" s="13">
        <f>G111</f>
        <v>532914229.79999995</v>
      </c>
      <c r="H110" s="13">
        <f>H111</f>
        <v>0</v>
      </c>
      <c r="I110" s="13">
        <f t="shared" si="27"/>
        <v>532914229.79999995</v>
      </c>
      <c r="J110" s="14"/>
    </row>
    <row r="111" spans="1:10" ht="16.2" thickTop="1" thickBot="1" x14ac:dyDescent="0.35">
      <c r="A111" s="19" t="s">
        <v>232</v>
      </c>
      <c r="B111" s="24" t="s">
        <v>233</v>
      </c>
      <c r="C111" s="72">
        <f>(77487454+10000000-7500000+25000000)+25000000</f>
        <v>129987454</v>
      </c>
      <c r="D111" s="72">
        <f>(75653151+10000000-7500000+25000000)+25000000</f>
        <v>128153151</v>
      </c>
      <c r="E111" s="72">
        <f>(78487454*(1+0.1)+10000000-7500000+25000000)+25000000</f>
        <v>138836199.40000001</v>
      </c>
      <c r="F111" s="72">
        <f>(73487454*(1+0.1)+2601226+10000000-7500000+25000000)+25000000</f>
        <v>135937425.40000001</v>
      </c>
      <c r="G111" s="26">
        <f>SUM(C111:F111)</f>
        <v>532914229.79999995</v>
      </c>
      <c r="H111" s="26"/>
      <c r="I111" s="26">
        <f t="shared" si="27"/>
        <v>532914229.79999995</v>
      </c>
      <c r="J111" s="27"/>
    </row>
    <row r="112" spans="1:10" ht="16.8" thickTop="1" thickBot="1" x14ac:dyDescent="0.35">
      <c r="A112" s="73"/>
      <c r="B112" s="74" t="s">
        <v>234</v>
      </c>
      <c r="C112" s="75">
        <f>C109+C94+C65+C2</f>
        <v>2224552765.125</v>
      </c>
      <c r="D112" s="75">
        <f>D109+D94+D65+D2</f>
        <v>2890147894.6583328</v>
      </c>
      <c r="E112" s="75">
        <f>E109+E94+E65+E2</f>
        <v>1416501659.8583331</v>
      </c>
      <c r="F112" s="75">
        <f>F109+F94+F65+F2</f>
        <v>4460654616.3583336</v>
      </c>
      <c r="G112" s="75">
        <f>G109+G94+G65+G2</f>
        <v>10888856936</v>
      </c>
      <c r="H112" s="75">
        <v>0</v>
      </c>
      <c r="I112" s="75">
        <f>I109+I94+I65+I2</f>
        <v>10888856936.000002</v>
      </c>
      <c r="J112" s="76"/>
    </row>
    <row r="113" spans="1:10" ht="15.6" x14ac:dyDescent="0.3">
      <c r="A113" s="77"/>
      <c r="B113" s="78"/>
      <c r="C113" s="79"/>
      <c r="D113" s="79"/>
      <c r="E113" s="79"/>
      <c r="F113" s="79"/>
      <c r="G113" s="80"/>
      <c r="H113" s="80"/>
      <c r="I113" s="80"/>
      <c r="J113" s="81"/>
    </row>
    <row r="114" spans="1:10" ht="15.6" x14ac:dyDescent="0.3">
      <c r="A114" s="77"/>
      <c r="B114" s="77"/>
      <c r="C114" s="82"/>
      <c r="D114" s="82"/>
      <c r="E114" s="82"/>
      <c r="F114" s="82"/>
      <c r="G114" s="82"/>
      <c r="H114" s="82"/>
      <c r="I114" s="82"/>
      <c r="J114" s="83"/>
    </row>
    <row r="115" spans="1:10" ht="16.2" thickBot="1" x14ac:dyDescent="0.35">
      <c r="A115" s="77"/>
      <c r="B115" s="77"/>
      <c r="C115" s="82"/>
      <c r="D115" s="82"/>
      <c r="E115" s="143" t="s">
        <v>235</v>
      </c>
      <c r="F115" s="144"/>
      <c r="G115" s="84">
        <f>G119-G112</f>
        <v>0</v>
      </c>
      <c r="H115" s="84"/>
      <c r="I115" s="84">
        <f>G119-I112</f>
        <v>0</v>
      </c>
      <c r="J115" s="85"/>
    </row>
    <row r="116" spans="1:10" ht="15.6" x14ac:dyDescent="0.3">
      <c r="A116" s="77"/>
      <c r="B116" s="86"/>
      <c r="C116" s="82"/>
      <c r="D116" s="82"/>
      <c r="E116" s="82"/>
      <c r="F116" s="82"/>
      <c r="G116" s="87"/>
      <c r="H116" s="87"/>
      <c r="I116" s="87"/>
      <c r="J116" s="88"/>
    </row>
    <row r="117" spans="1:10" ht="16.2" thickBot="1" x14ac:dyDescent="0.35">
      <c r="A117" s="77"/>
      <c r="B117" s="77"/>
      <c r="C117" s="82"/>
      <c r="D117" s="82"/>
      <c r="E117" s="143" t="s">
        <v>236</v>
      </c>
      <c r="F117" s="144"/>
      <c r="G117" s="84">
        <f>9536316433</f>
        <v>9536316433</v>
      </c>
      <c r="H117" s="84"/>
      <c r="I117" s="84"/>
      <c r="J117" s="85"/>
    </row>
    <row r="118" spans="1:10" ht="15.6" x14ac:dyDescent="0.3">
      <c r="A118" s="77"/>
      <c r="B118" s="77"/>
      <c r="C118" s="82"/>
      <c r="D118" s="82"/>
      <c r="E118" s="82"/>
      <c r="F118" s="82"/>
      <c r="G118" s="82"/>
      <c r="H118" s="82"/>
      <c r="I118" s="82"/>
      <c r="J118" s="83"/>
    </row>
    <row r="119" spans="1:10" ht="16.2" thickBot="1" x14ac:dyDescent="0.35">
      <c r="A119" s="77"/>
      <c r="B119" s="77"/>
      <c r="C119" s="82"/>
      <c r="D119" s="82"/>
      <c r="E119" s="143" t="s">
        <v>237</v>
      </c>
      <c r="F119" s="144"/>
      <c r="G119" s="84">
        <f>G117+1251971198+100569305</f>
        <v>10888856936</v>
      </c>
      <c r="H119" s="84"/>
      <c r="I119" s="84"/>
      <c r="J119" s="85"/>
    </row>
    <row r="121" spans="1:10" ht="15.6" x14ac:dyDescent="0.3">
      <c r="G121" s="91"/>
      <c r="H121" s="91"/>
      <c r="I121" s="91"/>
      <c r="J121" s="92"/>
    </row>
    <row r="122" spans="1:10" ht="15.6" x14ac:dyDescent="0.3">
      <c r="G122" s="91">
        <v>27998937.033332799</v>
      </c>
      <c r="H122" s="91"/>
      <c r="I122" s="91"/>
      <c r="J122" s="92"/>
    </row>
    <row r="128" spans="1:10" x14ac:dyDescent="0.3">
      <c r="G128" s="93"/>
      <c r="H128" s="93"/>
      <c r="I128" s="93"/>
      <c r="J128" s="94"/>
    </row>
    <row r="134" spans="9:9" x14ac:dyDescent="0.3">
      <c r="I134" s="97"/>
    </row>
  </sheetData>
  <mergeCells count="3">
    <mergeCell ref="E115:F115"/>
    <mergeCell ref="E117:F117"/>
    <mergeCell ref="E119:F119"/>
  </mergeCells>
  <printOptions horizontalCentered="1" verticalCentered="1"/>
  <pageMargins left="0.11811023622047245" right="0.11811023622047245" top="0.35433070866141736" bottom="0.35433070866141736" header="0.31496062992125984" footer="0.31496062992125984"/>
  <pageSetup paperSize="9" scale="61" orientation="landscape" r:id="rId1"/>
  <rowBreaks count="6" manualBreakCount="6">
    <brk id="14" max="9" man="1"/>
    <brk id="35" max="9" man="1"/>
    <brk id="54" max="9" man="1"/>
    <brk id="72" max="9" man="1"/>
    <brk id="88" max="9" man="1"/>
    <brk id="108" max="9" man="1"/>
  </rowBreaks>
  <ignoredErrors>
    <ignoredError sqref="G77"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A1:I140"/>
  <sheetViews>
    <sheetView showGridLines="0" tabSelected="1" zoomScale="70" zoomScaleNormal="70" zoomScaleSheetLayoutView="80" workbookViewId="0">
      <pane xSplit="2" ySplit="8" topLeftCell="C98" activePane="bottomRight" state="frozen"/>
      <selection pane="topRight" activeCell="C1" sqref="C1"/>
      <selection pane="bottomLeft" activeCell="A2" sqref="A2"/>
      <selection pane="bottomRight" activeCell="D93" sqref="D93"/>
    </sheetView>
  </sheetViews>
  <sheetFormatPr baseColWidth="10" defaultRowHeight="14.4" outlineLevelRow="2" x14ac:dyDescent="0.3"/>
  <cols>
    <col min="1" max="1" width="13.33203125" customWidth="1"/>
    <col min="2" max="2" width="92.6640625" customWidth="1"/>
    <col min="3" max="6" width="23.77734375" style="89" customWidth="1"/>
    <col min="7" max="8" width="26.88671875" style="89" customWidth="1"/>
  </cols>
  <sheetData>
    <row r="1" spans="1:8" ht="15" thickBot="1" x14ac:dyDescent="0.35"/>
    <row r="2" spans="1:8" ht="16.2" customHeight="1" thickBot="1" x14ac:dyDescent="0.35">
      <c r="A2" s="126"/>
      <c r="B2" s="140"/>
      <c r="C2" s="136" t="s">
        <v>235</v>
      </c>
      <c r="D2" s="137"/>
      <c r="E2" s="113"/>
      <c r="F2" s="113"/>
      <c r="G2" s="115">
        <f>G6-G125</f>
        <v>0</v>
      </c>
      <c r="H2" s="115"/>
    </row>
    <row r="3" spans="1:8" ht="4.8" customHeight="1" x14ac:dyDescent="0.3">
      <c r="A3" s="127"/>
      <c r="B3" s="141"/>
      <c r="C3" s="117"/>
      <c r="D3" s="118"/>
      <c r="E3" s="107"/>
      <c r="F3" s="107"/>
      <c r="G3" s="107"/>
      <c r="H3" s="107"/>
    </row>
    <row r="4" spans="1:8" ht="16.2" thickBot="1" x14ac:dyDescent="0.35">
      <c r="A4" s="127"/>
      <c r="B4" s="141"/>
      <c r="C4" s="138" t="s">
        <v>236</v>
      </c>
      <c r="D4" s="139"/>
      <c r="E4" s="114"/>
      <c r="F4" s="114"/>
      <c r="G4" s="116">
        <f>9536316433</f>
        <v>9536316433</v>
      </c>
      <c r="H4" s="116"/>
    </row>
    <row r="5" spans="1:8" ht="6.6" customHeight="1" x14ac:dyDescent="0.3">
      <c r="A5" s="127"/>
      <c r="B5" s="141"/>
      <c r="C5" s="117"/>
      <c r="D5" s="118"/>
      <c r="E5" s="108"/>
      <c r="F5" s="108"/>
      <c r="G5" s="108"/>
      <c r="H5" s="108"/>
    </row>
    <row r="6" spans="1:8" ht="16.2" thickBot="1" x14ac:dyDescent="0.35">
      <c r="A6" s="128"/>
      <c r="B6" s="142"/>
      <c r="C6" s="138" t="s">
        <v>237</v>
      </c>
      <c r="D6" s="139"/>
      <c r="E6" s="114"/>
      <c r="F6" s="114"/>
      <c r="G6" s="116">
        <f>G4+1251971198+100569305</f>
        <v>10888856936</v>
      </c>
      <c r="H6" s="116"/>
    </row>
    <row r="7" spans="1:8" ht="15" thickBot="1" x14ac:dyDescent="0.35"/>
    <row r="8" spans="1:8" ht="32.4" thickTop="1" thickBot="1" x14ac:dyDescent="0.35">
      <c r="A8" s="101" t="s">
        <v>0</v>
      </c>
      <c r="B8" s="102" t="s">
        <v>1</v>
      </c>
      <c r="C8" s="103" t="s">
        <v>2</v>
      </c>
      <c r="D8" s="103" t="s">
        <v>3</v>
      </c>
      <c r="E8" s="103" t="s">
        <v>4</v>
      </c>
      <c r="F8" s="103" t="s">
        <v>5</v>
      </c>
      <c r="G8" s="103" t="s">
        <v>243</v>
      </c>
      <c r="H8" s="103" t="s">
        <v>250</v>
      </c>
    </row>
    <row r="9" spans="1:8" ht="32.4" thickTop="1" thickBot="1" x14ac:dyDescent="0.35">
      <c r="A9" s="119" t="s">
        <v>9</v>
      </c>
      <c r="B9" s="120" t="s">
        <v>10</v>
      </c>
      <c r="C9" s="121">
        <f t="shared" ref="C9:G9" si="0">C10+C25+C43+C51</f>
        <v>1266793480.125</v>
      </c>
      <c r="D9" s="121">
        <f t="shared" si="0"/>
        <v>3742102193.125</v>
      </c>
      <c r="E9" s="121">
        <f t="shared" si="0"/>
        <v>775465820.95833325</v>
      </c>
      <c r="F9" s="121">
        <f t="shared" si="0"/>
        <v>589465870.45833325</v>
      </c>
      <c r="G9" s="121">
        <f t="shared" si="0"/>
        <v>6373827364.666666</v>
      </c>
      <c r="H9" s="121">
        <v>5149731609.666666</v>
      </c>
    </row>
    <row r="10" spans="1:8" ht="16.8" outlineLevel="1" thickTop="1" thickBot="1" x14ac:dyDescent="0.35">
      <c r="A10" s="11" t="s">
        <v>11</v>
      </c>
      <c r="B10" s="12" t="s">
        <v>12</v>
      </c>
      <c r="C10" s="13">
        <f t="shared" ref="C10:G10" si="1">C11+C14+C18+C23</f>
        <v>562429901</v>
      </c>
      <c r="D10" s="13">
        <f t="shared" si="1"/>
        <v>1766915656</v>
      </c>
      <c r="E10" s="13">
        <f t="shared" si="1"/>
        <v>292218333.33333331</v>
      </c>
      <c r="F10" s="13">
        <f t="shared" si="1"/>
        <v>180218333.33333331</v>
      </c>
      <c r="G10" s="13">
        <f t="shared" si="1"/>
        <v>2801782223.6666665</v>
      </c>
      <c r="H10" s="13">
        <v>1090556468.6666665</v>
      </c>
    </row>
    <row r="11" spans="1:8" ht="16.8" hidden="1" outlineLevel="2" thickTop="1" thickBot="1" x14ac:dyDescent="0.35">
      <c r="A11" s="15" t="s">
        <v>13</v>
      </c>
      <c r="B11" s="16" t="s">
        <v>14</v>
      </c>
      <c r="C11" s="17">
        <f t="shared" ref="C11:G11" si="2">C13+C12</f>
        <v>4680000</v>
      </c>
      <c r="D11" s="17">
        <f t="shared" si="2"/>
        <v>0</v>
      </c>
      <c r="E11" s="17">
        <f t="shared" si="2"/>
        <v>0</v>
      </c>
      <c r="F11" s="17">
        <f t="shared" si="2"/>
        <v>0</v>
      </c>
      <c r="G11" s="17">
        <f t="shared" si="2"/>
        <v>4680000</v>
      </c>
      <c r="H11" s="17">
        <v>0</v>
      </c>
    </row>
    <row r="12" spans="1:8" ht="16.2" hidden="1" outlineLevel="2" thickTop="1" thickBot="1" x14ac:dyDescent="0.35">
      <c r="A12" s="19" t="s">
        <v>15</v>
      </c>
      <c r="B12" s="20" t="s">
        <v>16</v>
      </c>
      <c r="C12" s="21">
        <f>0</f>
        <v>0</v>
      </c>
      <c r="D12" s="22">
        <f>0</f>
        <v>0</v>
      </c>
      <c r="E12" s="21">
        <f>0</f>
        <v>0</v>
      </c>
      <c r="F12" s="22">
        <v>0</v>
      </c>
      <c r="G12" s="21">
        <f>SUM(C12:F12)</f>
        <v>0</v>
      </c>
      <c r="H12" s="21">
        <v>0</v>
      </c>
    </row>
    <row r="13" spans="1:8" ht="31.2" hidden="1" outlineLevel="2" thickTop="1" thickBot="1" x14ac:dyDescent="0.35">
      <c r="A13" s="19" t="s">
        <v>17</v>
      </c>
      <c r="B13" s="20" t="s">
        <v>18</v>
      </c>
      <c r="C13" s="21">
        <f>(18000000*0)+(780000*2*2)+ 1560000</f>
        <v>4680000</v>
      </c>
      <c r="D13" s="22">
        <f>0*(18000000+6000000)</f>
        <v>0</v>
      </c>
      <c r="E13" s="21">
        <f>0*18000000</f>
        <v>0</v>
      </c>
      <c r="F13" s="22">
        <f>0*18000000</f>
        <v>0</v>
      </c>
      <c r="G13" s="21">
        <f>SUM(C13:F13)</f>
        <v>4680000</v>
      </c>
      <c r="H13" s="21">
        <v>0</v>
      </c>
    </row>
    <row r="14" spans="1:8" ht="32.4" hidden="1" outlineLevel="2" thickTop="1" thickBot="1" x14ac:dyDescent="0.35">
      <c r="A14" s="15" t="s">
        <v>20</v>
      </c>
      <c r="B14" s="16" t="s">
        <v>21</v>
      </c>
      <c r="C14" s="17">
        <f>SUM(C15:C17)</f>
        <v>145850000</v>
      </c>
      <c r="D14" s="17">
        <f t="shared" ref="D14:F14" si="3">SUM(D15:D17)</f>
        <v>765166405</v>
      </c>
      <c r="E14" s="17">
        <f t="shared" si="3"/>
        <v>100000000</v>
      </c>
      <c r="F14" s="17">
        <f t="shared" si="3"/>
        <v>50000000</v>
      </c>
      <c r="G14" s="17">
        <f>SUM(G15:G17)</f>
        <v>1061016405</v>
      </c>
      <c r="H14" s="17">
        <v>351640000</v>
      </c>
    </row>
    <row r="15" spans="1:8" ht="16.2" hidden="1" outlineLevel="2" thickTop="1" thickBot="1" x14ac:dyDescent="0.35">
      <c r="A15" s="19" t="s">
        <v>22</v>
      </c>
      <c r="B15" s="32" t="s">
        <v>23</v>
      </c>
      <c r="C15" s="22">
        <f>(95850000-50000000)+100000000</f>
        <v>145850000</v>
      </c>
      <c r="D15" s="22">
        <f>(255790000)+100000000+409376405</f>
        <v>765166405</v>
      </c>
      <c r="E15" s="22">
        <f>(50000000)+50000000</f>
        <v>100000000</v>
      </c>
      <c r="F15" s="22">
        <f>0+(50000000)</f>
        <v>50000000</v>
      </c>
      <c r="G15" s="22">
        <f>SUM(C15:F15)</f>
        <v>1061016405</v>
      </c>
      <c r="H15" s="22">
        <v>351640000</v>
      </c>
    </row>
    <row r="16" spans="1:8" ht="16.2" hidden="1" outlineLevel="2" thickTop="1" thickBot="1" x14ac:dyDescent="0.35">
      <c r="A16" s="19" t="s">
        <v>25</v>
      </c>
      <c r="B16" s="32" t="s">
        <v>26</v>
      </c>
      <c r="C16" s="22">
        <f>0</f>
        <v>0</v>
      </c>
      <c r="D16" s="22">
        <f>0</f>
        <v>0</v>
      </c>
      <c r="E16" s="22">
        <f>0</f>
        <v>0</v>
      </c>
      <c r="F16" s="22">
        <f>0*(19500000+14360000)</f>
        <v>0</v>
      </c>
      <c r="G16" s="22">
        <f>SUM(C16:F16)</f>
        <v>0</v>
      </c>
      <c r="H16" s="22">
        <v>0</v>
      </c>
    </row>
    <row r="17" spans="1:8" ht="46.2" hidden="1" outlineLevel="2" thickTop="1" thickBot="1" x14ac:dyDescent="0.35">
      <c r="A17" s="19" t="s">
        <v>27</v>
      </c>
      <c r="B17" s="32" t="s">
        <v>28</v>
      </c>
      <c r="C17" s="22">
        <f>0</f>
        <v>0</v>
      </c>
      <c r="D17" s="22">
        <f>0</f>
        <v>0</v>
      </c>
      <c r="E17" s="22">
        <f>0*28720000/4</f>
        <v>0</v>
      </c>
      <c r="F17" s="22">
        <v>0</v>
      </c>
      <c r="G17" s="22">
        <f>SUM(C17:F17)</f>
        <v>0</v>
      </c>
      <c r="H17" s="22">
        <v>0</v>
      </c>
    </row>
    <row r="18" spans="1:8" ht="16.8" hidden="1" outlineLevel="2" thickTop="1" thickBot="1" x14ac:dyDescent="0.35">
      <c r="A18" s="15" t="s">
        <v>29</v>
      </c>
      <c r="B18" s="16" t="s">
        <v>30</v>
      </c>
      <c r="C18" s="34">
        <f t="shared" ref="C18:G18" si="4">SUM(C19:C22)</f>
        <v>397174901</v>
      </c>
      <c r="D18" s="34">
        <f t="shared" si="4"/>
        <v>987024251</v>
      </c>
      <c r="E18" s="34">
        <f t="shared" si="4"/>
        <v>172493333.33333331</v>
      </c>
      <c r="F18" s="34">
        <f t="shared" si="4"/>
        <v>120493333.33333333</v>
      </c>
      <c r="G18" s="34">
        <f t="shared" si="4"/>
        <v>1677185818.6666665</v>
      </c>
      <c r="H18" s="34">
        <v>680016468.66666663</v>
      </c>
    </row>
    <row r="19" spans="1:8" ht="16.2" hidden="1" outlineLevel="2" thickTop="1" thickBot="1" x14ac:dyDescent="0.35">
      <c r="A19" s="19" t="s">
        <v>31</v>
      </c>
      <c r="B19" s="32" t="s">
        <v>32</v>
      </c>
      <c r="C19" s="22">
        <f>(36333931+60000000+60000000)-100000000</f>
        <v>56333931</v>
      </c>
      <c r="D19" s="22">
        <f>(36333931+60000000)-16000000</f>
        <v>80333931</v>
      </c>
      <c r="E19" s="22">
        <f>(63250000/3)+67000000</f>
        <v>88083333.333333328</v>
      </c>
      <c r="F19" s="22">
        <f>(63250000/3)+15000000</f>
        <v>36083333.333333328</v>
      </c>
      <c r="G19" s="21">
        <f t="shared" ref="G19:G24" si="5">SUM(C19:F19)</f>
        <v>260834528.66666663</v>
      </c>
      <c r="H19" s="21">
        <v>260834528.66666663</v>
      </c>
    </row>
    <row r="20" spans="1:8" ht="31.2" hidden="1" outlineLevel="2" thickTop="1" thickBot="1" x14ac:dyDescent="0.35">
      <c r="A20" s="19" t="s">
        <v>33</v>
      </c>
      <c r="B20" s="20" t="s">
        <v>34</v>
      </c>
      <c r="C20" s="22">
        <f>65000000/4</f>
        <v>16250000</v>
      </c>
      <c r="D20" s="22">
        <f t="shared" ref="D20:F20" si="6">65000000/4</f>
        <v>16250000</v>
      </c>
      <c r="E20" s="22">
        <f t="shared" si="6"/>
        <v>16250000</v>
      </c>
      <c r="F20" s="22">
        <f t="shared" si="6"/>
        <v>16250000</v>
      </c>
      <c r="G20" s="21">
        <f t="shared" si="5"/>
        <v>65000000</v>
      </c>
      <c r="H20" s="21">
        <v>65000000</v>
      </c>
    </row>
    <row r="21" spans="1:8" ht="16.2" hidden="1" outlineLevel="2" thickTop="1" thickBot="1" x14ac:dyDescent="0.35">
      <c r="A21" s="19" t="s">
        <v>35</v>
      </c>
      <c r="B21" s="20" t="s">
        <v>36</v>
      </c>
      <c r="C21" s="22">
        <f>(79590970+270000000-75000000)+50000000</f>
        <v>324590970</v>
      </c>
      <c r="D21" s="22">
        <f>(79590970)+100000000+717689350-((350000+50000+350000+50000+730000+50000+630000+70000)*3)</f>
        <v>890440320</v>
      </c>
      <c r="E21" s="22">
        <f>(0*79590970)+75000000-((350000+50000+350000+50000+730000+50000+630000+70000)*3)</f>
        <v>68160000</v>
      </c>
      <c r="F21" s="22">
        <f>0+75000000-((350000+50000+350000+50000+730000+50000+630000+70000)*3)</f>
        <v>68160000</v>
      </c>
      <c r="G21" s="21">
        <f t="shared" si="5"/>
        <v>1351351290</v>
      </c>
      <c r="H21" s="21">
        <v>354181940</v>
      </c>
    </row>
    <row r="22" spans="1:8" ht="16.2" hidden="1" outlineLevel="2" thickTop="1" thickBot="1" x14ac:dyDescent="0.35">
      <c r="A22" s="36" t="s">
        <v>35</v>
      </c>
      <c r="B22" s="41" t="s">
        <v>38</v>
      </c>
      <c r="C22" s="22">
        <f>0</f>
        <v>0</v>
      </c>
      <c r="D22" s="22">
        <f>0*324580750/2</f>
        <v>0</v>
      </c>
      <c r="E22" s="22">
        <f>0*324580750/2</f>
        <v>0</v>
      </c>
      <c r="F22" s="22">
        <v>0</v>
      </c>
      <c r="G22" s="21">
        <f t="shared" si="5"/>
        <v>0</v>
      </c>
      <c r="H22" s="21">
        <v>0</v>
      </c>
    </row>
    <row r="23" spans="1:8" ht="32.4" hidden="1" outlineLevel="2" thickTop="1" thickBot="1" x14ac:dyDescent="0.35">
      <c r="A23" s="15" t="s">
        <v>39</v>
      </c>
      <c r="B23" s="16" t="s">
        <v>40</v>
      </c>
      <c r="C23" s="42">
        <f>C24</f>
        <v>14725000</v>
      </c>
      <c r="D23" s="42">
        <f>D24</f>
        <v>14725000</v>
      </c>
      <c r="E23" s="42">
        <f>E24</f>
        <v>19725000</v>
      </c>
      <c r="F23" s="42">
        <f>F24</f>
        <v>9725000</v>
      </c>
      <c r="G23" s="34">
        <f t="shared" si="5"/>
        <v>58900000</v>
      </c>
      <c r="H23" s="34">
        <v>58900000</v>
      </c>
    </row>
    <row r="24" spans="1:8" ht="16.2" hidden="1" outlineLevel="2" thickTop="1" thickBot="1" x14ac:dyDescent="0.35">
      <c r="A24" s="43" t="s">
        <v>41</v>
      </c>
      <c r="B24" s="32" t="s">
        <v>42</v>
      </c>
      <c r="C24" s="44">
        <f>((50000000+9450000)/2)-15000000</f>
        <v>14725000</v>
      </c>
      <c r="D24" s="22">
        <f>((100000000+9450000)/2)-40000000</f>
        <v>14725000</v>
      </c>
      <c r="E24" s="22">
        <f>((90000000+9450000)/2)-30000000</f>
        <v>19725000</v>
      </c>
      <c r="F24" s="22">
        <f>((40000000+9450000)/2)-15000000</f>
        <v>9725000</v>
      </c>
      <c r="G24" s="21">
        <f t="shared" si="5"/>
        <v>58900000</v>
      </c>
      <c r="H24" s="21">
        <v>58900000</v>
      </c>
    </row>
    <row r="25" spans="1:8" ht="16.8" outlineLevel="1" collapsed="1" thickTop="1" thickBot="1" x14ac:dyDescent="0.35">
      <c r="A25" s="45" t="s">
        <v>43</v>
      </c>
      <c r="B25" s="12" t="s">
        <v>44</v>
      </c>
      <c r="C25" s="13">
        <f t="shared" ref="C25:G25" si="7">C26+C31+C33+C35+C37</f>
        <v>327687487.625</v>
      </c>
      <c r="D25" s="13">
        <f t="shared" si="7"/>
        <v>1443597537.125</v>
      </c>
      <c r="E25" s="13">
        <f t="shared" si="7"/>
        <v>259797487.625</v>
      </c>
      <c r="F25" s="13">
        <f t="shared" si="7"/>
        <v>235797537.125</v>
      </c>
      <c r="G25" s="13">
        <f t="shared" si="7"/>
        <v>2266880049.5</v>
      </c>
      <c r="H25" s="13">
        <v>3098000049.5</v>
      </c>
    </row>
    <row r="26" spans="1:8" ht="32.4" hidden="1" outlineLevel="2" thickTop="1" thickBot="1" x14ac:dyDescent="0.35">
      <c r="A26" s="15" t="s">
        <v>45</v>
      </c>
      <c r="B26" s="16" t="s">
        <v>46</v>
      </c>
      <c r="C26" s="42">
        <f t="shared" ref="C26:G26" si="8">SUM(C27:C30)</f>
        <v>244687487.625</v>
      </c>
      <c r="D26" s="42">
        <f t="shared" si="8"/>
        <v>1403347487.625</v>
      </c>
      <c r="E26" s="42">
        <f t="shared" si="8"/>
        <v>216797487.625</v>
      </c>
      <c r="F26" s="42">
        <f t="shared" si="8"/>
        <v>222547487.625</v>
      </c>
      <c r="G26" s="42">
        <f t="shared" si="8"/>
        <v>2087379950.5</v>
      </c>
      <c r="H26" s="42">
        <v>2918499950.5</v>
      </c>
    </row>
    <row r="27" spans="1:8" ht="31.2" hidden="1" outlineLevel="2" thickTop="1" thickBot="1" x14ac:dyDescent="0.35">
      <c r="A27" s="47" t="s">
        <v>47</v>
      </c>
      <c r="B27" s="48" t="s">
        <v>48</v>
      </c>
      <c r="C27" s="22">
        <f>3*(4500000)+6000000</f>
        <v>19500000</v>
      </c>
      <c r="D27" s="22">
        <f>3*(4500000)+6000000+4600000</f>
        <v>24100000</v>
      </c>
      <c r="E27" s="22">
        <f t="shared" ref="E27:F27" si="9">3*(4500000)+6000000</f>
        <v>19500000</v>
      </c>
      <c r="F27" s="22">
        <f t="shared" si="9"/>
        <v>19500000</v>
      </c>
      <c r="G27" s="21">
        <f>SUM(C27:F27)</f>
        <v>82600000</v>
      </c>
      <c r="H27" s="21">
        <v>78000000</v>
      </c>
    </row>
    <row r="28" spans="1:8" ht="16.2" hidden="1" outlineLevel="2" thickTop="1" thickBot="1" x14ac:dyDescent="0.35">
      <c r="A28" s="47" t="s">
        <v>49</v>
      </c>
      <c r="B28" s="48" t="s">
        <v>50</v>
      </c>
      <c r="C28" s="22">
        <f>12000000*0</f>
        <v>0</v>
      </c>
      <c r="D28" s="22">
        <v>0</v>
      </c>
      <c r="E28" s="22">
        <v>0</v>
      </c>
      <c r="F28" s="22">
        <v>0</v>
      </c>
      <c r="G28" s="21">
        <f>SUM(C28:F28)</f>
        <v>0</v>
      </c>
      <c r="H28" s="21">
        <v>0</v>
      </c>
    </row>
    <row r="29" spans="1:8" ht="16.2" hidden="1" outlineLevel="2" thickTop="1" thickBot="1" x14ac:dyDescent="0.35">
      <c r="A29" s="19" t="s">
        <v>51</v>
      </c>
      <c r="B29" s="32" t="s">
        <v>52</v>
      </c>
      <c r="C29" s="22">
        <v>0</v>
      </c>
      <c r="D29" s="22">
        <v>9500000</v>
      </c>
      <c r="E29" s="22">
        <v>0</v>
      </c>
      <c r="F29" s="22">
        <v>9500000</v>
      </c>
      <c r="G29" s="21">
        <f>SUM(C29:F29)</f>
        <v>19000000</v>
      </c>
      <c r="H29" s="21">
        <v>19000000</v>
      </c>
    </row>
    <row r="30" spans="1:8" ht="16.2" hidden="1" outlineLevel="2" thickTop="1" thickBot="1" x14ac:dyDescent="0.35">
      <c r="A30" s="19" t="s">
        <v>53</v>
      </c>
      <c r="B30" s="32" t="s">
        <v>54</v>
      </c>
      <c r="C30" s="22">
        <f>55000000+55000000+12000000+11500000+500000000-(33250049.5/4)-(400000000)</f>
        <v>225187487.625</v>
      </c>
      <c r="D30" s="22">
        <f>((25000000*70)+55000000+750000000-1500000000+15000000+117500000+500000000-(33250049.5/4))-800000000-(100000000)+603700000-((2*(350000+50000)*3))-((780000+270000+1050000+730000+50000+630000+70000)*3)</f>
        <v>1369747487.625</v>
      </c>
      <c r="E30" s="22">
        <f>55000000+35000000+25000000+103750000-(33250049.5/4)-((2*(350000+50000)*3))-((780000+270000+1050000+730000+50000+630000+70000)*3)</f>
        <v>197297487.625</v>
      </c>
      <c r="F30" s="22">
        <f>55000000+250000000+10000000-(33250049.5/4)-(100000000)-((2*(350000+50000)*3))-((780000+270000+1050000+730000+50000+630000+70000)*3)</f>
        <v>193547487.625</v>
      </c>
      <c r="G30" s="21">
        <f>SUM(C30:F30)</f>
        <v>1985779950.5</v>
      </c>
      <c r="H30" s="21">
        <v>2821499950.5</v>
      </c>
    </row>
    <row r="31" spans="1:8" ht="32.4" hidden="1" outlineLevel="2" thickTop="1" thickBot="1" x14ac:dyDescent="0.35">
      <c r="A31" s="15" t="s">
        <v>56</v>
      </c>
      <c r="B31" s="16" t="s">
        <v>57</v>
      </c>
      <c r="C31" s="34">
        <f>C32</f>
        <v>5000000</v>
      </c>
      <c r="D31" s="34">
        <f>D32</f>
        <v>0</v>
      </c>
      <c r="E31" s="34">
        <f>E32</f>
        <v>0</v>
      </c>
      <c r="F31" s="34">
        <f>F32</f>
        <v>0</v>
      </c>
      <c r="G31" s="34">
        <f>SUM(C31:F31)</f>
        <v>5000000</v>
      </c>
      <c r="H31" s="34">
        <v>5000000</v>
      </c>
    </row>
    <row r="32" spans="1:8" ht="16.8" hidden="1" outlineLevel="2" thickTop="1" thickBot="1" x14ac:dyDescent="0.35">
      <c r="A32" s="50" t="s">
        <v>58</v>
      </c>
      <c r="B32" s="51" t="s">
        <v>59</v>
      </c>
      <c r="C32" s="44">
        <f>16500000-11500000</f>
        <v>5000000</v>
      </c>
      <c r="D32" s="22">
        <v>0</v>
      </c>
      <c r="E32" s="22">
        <v>0</v>
      </c>
      <c r="F32" s="22">
        <f>F33</f>
        <v>0</v>
      </c>
      <c r="G32" s="21">
        <f t="shared" ref="G32" si="10">SUM(C32:F32)</f>
        <v>5000000</v>
      </c>
      <c r="H32" s="21">
        <v>5000000</v>
      </c>
    </row>
    <row r="33" spans="1:8" ht="32.4" hidden="1" outlineLevel="2" thickTop="1" thickBot="1" x14ac:dyDescent="0.35">
      <c r="A33" s="52" t="s">
        <v>60</v>
      </c>
      <c r="B33" s="16" t="s">
        <v>61</v>
      </c>
      <c r="C33" s="42">
        <f>C34</f>
        <v>0</v>
      </c>
      <c r="D33" s="42">
        <f>D34</f>
        <v>0</v>
      </c>
      <c r="E33" s="42">
        <f>E34</f>
        <v>0</v>
      </c>
      <c r="F33" s="42">
        <f>F34</f>
        <v>0</v>
      </c>
      <c r="G33" s="42">
        <f>SUM(C33:F33)</f>
        <v>0</v>
      </c>
      <c r="H33" s="42">
        <v>0</v>
      </c>
    </row>
    <row r="34" spans="1:8" ht="16.2" hidden="1" outlineLevel="2" thickTop="1" thickBot="1" x14ac:dyDescent="0.35">
      <c r="A34" s="19" t="s">
        <v>62</v>
      </c>
      <c r="B34" s="32" t="s">
        <v>63</v>
      </c>
      <c r="C34" s="22">
        <f>0*4595000</f>
        <v>0</v>
      </c>
      <c r="D34" s="22">
        <f>0*55650000</f>
        <v>0</v>
      </c>
      <c r="E34" s="22">
        <f>0*7808815</f>
        <v>0</v>
      </c>
      <c r="F34" s="22">
        <f>0</f>
        <v>0</v>
      </c>
      <c r="G34" s="21">
        <f>SUM(C34:E34)</f>
        <v>0</v>
      </c>
      <c r="H34" s="21">
        <v>0</v>
      </c>
    </row>
    <row r="35" spans="1:8" ht="32.4" hidden="1" outlineLevel="2" thickTop="1" thickBot="1" x14ac:dyDescent="0.35">
      <c r="A35" s="15" t="s">
        <v>64</v>
      </c>
      <c r="B35" s="16" t="s">
        <v>65</v>
      </c>
      <c r="C35" s="34">
        <f t="shared" ref="C35:G35" si="11">C36</f>
        <v>24000000</v>
      </c>
      <c r="D35" s="34">
        <f t="shared" si="11"/>
        <v>13250049.5</v>
      </c>
      <c r="E35" s="34">
        <f t="shared" si="11"/>
        <v>16000000</v>
      </c>
      <c r="F35" s="34">
        <f t="shared" si="11"/>
        <v>13250049.5</v>
      </c>
      <c r="G35" s="34">
        <f t="shared" si="11"/>
        <v>66500099</v>
      </c>
      <c r="H35" s="34">
        <v>66500099</v>
      </c>
    </row>
    <row r="36" spans="1:8" ht="16.2" hidden="1" outlineLevel="2" thickTop="1" thickBot="1" x14ac:dyDescent="0.35">
      <c r="A36" s="19" t="s">
        <v>66</v>
      </c>
      <c r="B36" s="32" t="s">
        <v>67</v>
      </c>
      <c r="C36" s="44">
        <f>24000000</f>
        <v>24000000</v>
      </c>
      <c r="D36" s="44">
        <f>26500099/2</f>
        <v>13250049.5</v>
      </c>
      <c r="E36" s="44">
        <f>16000000</f>
        <v>16000000</v>
      </c>
      <c r="F36" s="22">
        <f>26500099/2</f>
        <v>13250049.5</v>
      </c>
      <c r="G36" s="21">
        <f>SUM(C36:F36)</f>
        <v>66500099</v>
      </c>
      <c r="H36" s="21">
        <v>66500099</v>
      </c>
    </row>
    <row r="37" spans="1:8" ht="32.4" hidden="1" outlineLevel="2" thickTop="1" thickBot="1" x14ac:dyDescent="0.35">
      <c r="A37" s="52" t="s">
        <v>68</v>
      </c>
      <c r="B37" s="16" t="s">
        <v>69</v>
      </c>
      <c r="C37" s="42">
        <f>SUM(C38:C42)</f>
        <v>54000000</v>
      </c>
      <c r="D37" s="42">
        <f>SUM(D38:D42)</f>
        <v>27000000</v>
      </c>
      <c r="E37" s="42">
        <f t="shared" ref="E37:F37" si="12">SUM(E38:E42)</f>
        <v>27000000</v>
      </c>
      <c r="F37" s="42">
        <f t="shared" si="12"/>
        <v>0</v>
      </c>
      <c r="G37" s="42">
        <f>SUM(G38:G42)</f>
        <v>108000000</v>
      </c>
      <c r="H37" s="42">
        <v>108000000</v>
      </c>
    </row>
    <row r="38" spans="1:8" ht="16.2" hidden="1" outlineLevel="2" thickTop="1" thickBot="1" x14ac:dyDescent="0.35">
      <c r="A38" s="19" t="s">
        <v>70</v>
      </c>
      <c r="B38" s="32" t="s">
        <v>71</v>
      </c>
      <c r="C38" s="22">
        <f>0*12000000</f>
        <v>0</v>
      </c>
      <c r="D38" s="22">
        <v>0</v>
      </c>
      <c r="E38" s="22">
        <f>7500000*0</f>
        <v>0</v>
      </c>
      <c r="F38" s="22">
        <f>0/4</f>
        <v>0</v>
      </c>
      <c r="G38" s="21">
        <f>SUM(C38:F38)</f>
        <v>0</v>
      </c>
      <c r="H38" s="21">
        <v>0</v>
      </c>
    </row>
    <row r="39" spans="1:8" ht="16.2" hidden="1" outlineLevel="2" thickTop="1" thickBot="1" x14ac:dyDescent="0.35">
      <c r="A39" s="19" t="s">
        <v>72</v>
      </c>
      <c r="B39" s="32" t="s">
        <v>73</v>
      </c>
      <c r="C39" s="22">
        <f>0*30000000</f>
        <v>0</v>
      </c>
      <c r="D39" s="22">
        <f>0*30000000</f>
        <v>0</v>
      </c>
      <c r="E39" s="22">
        <f>0*12000000</f>
        <v>0</v>
      </c>
      <c r="F39" s="22">
        <f>0/4</f>
        <v>0</v>
      </c>
      <c r="G39" s="21">
        <f>SUM(C39:F39)</f>
        <v>0</v>
      </c>
      <c r="H39" s="21">
        <v>0</v>
      </c>
    </row>
    <row r="40" spans="1:8" ht="16.2" hidden="1" outlineLevel="2" thickTop="1" thickBot="1" x14ac:dyDescent="0.35">
      <c r="A40" s="36" t="s">
        <v>74</v>
      </c>
      <c r="B40" s="41" t="s">
        <v>75</v>
      </c>
      <c r="C40" s="22">
        <f>0</f>
        <v>0</v>
      </c>
      <c r="D40" s="22">
        <f>0</f>
        <v>0</v>
      </c>
      <c r="E40" s="22">
        <f>0</f>
        <v>0</v>
      </c>
      <c r="F40" s="22">
        <f>0</f>
        <v>0</v>
      </c>
      <c r="G40" s="21">
        <f>SUM(C40:F40)</f>
        <v>0</v>
      </c>
      <c r="H40" s="21">
        <v>0</v>
      </c>
    </row>
    <row r="41" spans="1:8" ht="16.2" hidden="1" outlineLevel="2" thickTop="1" thickBot="1" x14ac:dyDescent="0.35">
      <c r="A41" s="19" t="s">
        <v>76</v>
      </c>
      <c r="B41" s="32" t="s">
        <v>77</v>
      </c>
      <c r="C41" s="22">
        <f>0*10000000</f>
        <v>0</v>
      </c>
      <c r="D41" s="22">
        <f>0*20000000</f>
        <v>0</v>
      </c>
      <c r="E41" s="22">
        <f>0*10000000</f>
        <v>0</v>
      </c>
      <c r="F41" s="22">
        <f>0*20000000</f>
        <v>0</v>
      </c>
      <c r="G41" s="21">
        <f>SUM(C41:F41)</f>
        <v>0</v>
      </c>
      <c r="H41" s="21">
        <v>0</v>
      </c>
    </row>
    <row r="42" spans="1:8" ht="16.2" hidden="1" outlineLevel="2" thickTop="1" thickBot="1" x14ac:dyDescent="0.35">
      <c r="A42" s="19" t="s">
        <v>78</v>
      </c>
      <c r="B42" s="32" t="s">
        <v>79</v>
      </c>
      <c r="C42" s="22">
        <f>(128000000/2)-10000000</f>
        <v>54000000</v>
      </c>
      <c r="D42" s="22">
        <f>((128000000/2)-10000000)/2</f>
        <v>27000000</v>
      </c>
      <c r="E42" s="22">
        <f>((128000000/2)-10000000)/2</f>
        <v>27000000</v>
      </c>
      <c r="F42" s="22">
        <f>0</f>
        <v>0</v>
      </c>
      <c r="G42" s="21">
        <f>SUM(C42:F42)</f>
        <v>108000000</v>
      </c>
      <c r="H42" s="21">
        <v>108000000</v>
      </c>
    </row>
    <row r="43" spans="1:8" ht="16.8" outlineLevel="1" collapsed="1" thickTop="1" thickBot="1" x14ac:dyDescent="0.35">
      <c r="A43" s="45" t="s">
        <v>80</v>
      </c>
      <c r="B43" s="12" t="s">
        <v>81</v>
      </c>
      <c r="C43" s="13">
        <f t="shared" ref="C43:G43" si="13">C44+C46+C49</f>
        <v>122707099</v>
      </c>
      <c r="D43" s="13">
        <f t="shared" si="13"/>
        <v>169840000</v>
      </c>
      <c r="E43" s="13">
        <f t="shared" si="13"/>
        <v>30000000</v>
      </c>
      <c r="F43" s="13">
        <f t="shared" si="13"/>
        <v>25000000</v>
      </c>
      <c r="G43" s="13">
        <f t="shared" si="13"/>
        <v>347547099</v>
      </c>
      <c r="H43" s="13">
        <v>250707099</v>
      </c>
    </row>
    <row r="44" spans="1:8" ht="16.8" hidden="1" outlineLevel="2" thickTop="1" thickBot="1" x14ac:dyDescent="0.35">
      <c r="A44" s="15" t="s">
        <v>82</v>
      </c>
      <c r="B44" s="16" t="s">
        <v>83</v>
      </c>
      <c r="C44" s="42">
        <f t="shared" ref="C44:G44" si="14">+C45</f>
        <v>63398975</v>
      </c>
      <c r="D44" s="42">
        <f t="shared" si="14"/>
        <v>94840000</v>
      </c>
      <c r="E44" s="42">
        <f t="shared" si="14"/>
        <v>0</v>
      </c>
      <c r="F44" s="42">
        <f t="shared" si="14"/>
        <v>0</v>
      </c>
      <c r="G44" s="42">
        <f t="shared" si="14"/>
        <v>158238975</v>
      </c>
      <c r="H44" s="42">
        <v>141398975</v>
      </c>
    </row>
    <row r="45" spans="1:8" ht="31.2" hidden="1" outlineLevel="2" thickTop="1" thickBot="1" x14ac:dyDescent="0.35">
      <c r="A45" s="19" t="s">
        <v>84</v>
      </c>
      <c r="B45" s="32" t="s">
        <v>85</v>
      </c>
      <c r="C45" s="22">
        <f>0*(55000000+100000000+450000000+280000000)+16250000+12500000+14398975+10000000+10000000+45750000+4500000-50000000</f>
        <v>63398975</v>
      </c>
      <c r="D45" s="22">
        <f>0*((25000000*0)+(1500000*260)+55000000+100000000+250000000+425000000+500000000)+100000000+28000000-50000000+ 16840000</f>
        <v>94840000</v>
      </c>
      <c r="E45" s="22">
        <f>0*(350000000-35000000)</f>
        <v>0</v>
      </c>
      <c r="F45" s="22">
        <f>0*398660000</f>
        <v>0</v>
      </c>
      <c r="G45" s="21">
        <f>SUM(C45:F45)</f>
        <v>158238975</v>
      </c>
      <c r="H45" s="21">
        <v>141398975</v>
      </c>
    </row>
    <row r="46" spans="1:8" ht="16.8" hidden="1" outlineLevel="2" thickTop="1" thickBot="1" x14ac:dyDescent="0.35">
      <c r="A46" s="15" t="s">
        <v>86</v>
      </c>
      <c r="B46" s="16" t="s">
        <v>87</v>
      </c>
      <c r="C46" s="42">
        <f t="shared" ref="C46:G46" si="15">+C47+C48</f>
        <v>25000000</v>
      </c>
      <c r="D46" s="42">
        <f t="shared" si="15"/>
        <v>75000000</v>
      </c>
      <c r="E46" s="42">
        <f t="shared" si="15"/>
        <v>30000000</v>
      </c>
      <c r="F46" s="42">
        <f t="shared" si="15"/>
        <v>25000000</v>
      </c>
      <c r="G46" s="42">
        <f t="shared" si="15"/>
        <v>155000000</v>
      </c>
      <c r="H46" s="42">
        <v>75000000</v>
      </c>
    </row>
    <row r="47" spans="1:8" ht="16.2" hidden="1" outlineLevel="2" thickTop="1" thickBot="1" x14ac:dyDescent="0.35">
      <c r="A47" s="19" t="s">
        <v>88</v>
      </c>
      <c r="B47" s="32" t="s">
        <v>89</v>
      </c>
      <c r="C47" s="22">
        <f>0*35000000</f>
        <v>0</v>
      </c>
      <c r="D47" s="22">
        <f>0</f>
        <v>0</v>
      </c>
      <c r="E47" s="22">
        <f>0</f>
        <v>0</v>
      </c>
      <c r="F47" s="22">
        <v>0</v>
      </c>
      <c r="G47" s="21">
        <f>SUM(C47:F47)</f>
        <v>0</v>
      </c>
      <c r="H47" s="21">
        <v>0</v>
      </c>
    </row>
    <row r="48" spans="1:8" ht="16.2" hidden="1" outlineLevel="2" thickTop="1" thickBot="1" x14ac:dyDescent="0.35">
      <c r="A48" s="19" t="s">
        <v>90</v>
      </c>
      <c r="B48" s="32" t="s">
        <v>91</v>
      </c>
      <c r="C48" s="22">
        <f>25000000</f>
        <v>25000000</v>
      </c>
      <c r="D48" s="22">
        <f>35000000+40000000</f>
        <v>75000000</v>
      </c>
      <c r="E48" s="22">
        <v>30000000</v>
      </c>
      <c r="F48" s="22">
        <f>50000000-25000000</f>
        <v>25000000</v>
      </c>
      <c r="G48" s="21">
        <f>SUM(C48:F48)</f>
        <v>155000000</v>
      </c>
      <c r="H48" s="21">
        <v>75000000</v>
      </c>
    </row>
    <row r="49" spans="1:8" ht="16.8" hidden="1" outlineLevel="2" thickTop="1" thickBot="1" x14ac:dyDescent="0.35">
      <c r="A49" s="15" t="s">
        <v>92</v>
      </c>
      <c r="B49" s="16" t="s">
        <v>93</v>
      </c>
      <c r="C49" s="42">
        <f>+C50</f>
        <v>34308124</v>
      </c>
      <c r="D49" s="42">
        <f>+D50</f>
        <v>0</v>
      </c>
      <c r="E49" s="42">
        <f>+E50</f>
        <v>0</v>
      </c>
      <c r="F49" s="42">
        <f>+F50</f>
        <v>0</v>
      </c>
      <c r="G49" s="42">
        <f>SUM(C49:F49)</f>
        <v>34308124</v>
      </c>
      <c r="H49" s="42">
        <v>34308124</v>
      </c>
    </row>
    <row r="50" spans="1:8" ht="31.2" hidden="1" outlineLevel="2" thickTop="1" thickBot="1" x14ac:dyDescent="0.35">
      <c r="A50" s="19" t="s">
        <v>94</v>
      </c>
      <c r="B50" s="32" t="s">
        <v>95</v>
      </c>
      <c r="C50" s="22">
        <f>29308124+5000000</f>
        <v>34308124</v>
      </c>
      <c r="D50" s="22">
        <f>0*15000000</f>
        <v>0</v>
      </c>
      <c r="E50" s="22">
        <v>0</v>
      </c>
      <c r="F50" s="22">
        <v>0</v>
      </c>
      <c r="G50" s="22">
        <f>SUM(C50:F50)</f>
        <v>34308124</v>
      </c>
      <c r="H50" s="22">
        <v>34308124</v>
      </c>
    </row>
    <row r="51" spans="1:8" ht="16.8" outlineLevel="1" collapsed="1" thickTop="1" thickBot="1" x14ac:dyDescent="0.35">
      <c r="A51" s="54" t="s">
        <v>96</v>
      </c>
      <c r="B51" s="12" t="s">
        <v>97</v>
      </c>
      <c r="C51" s="13">
        <f t="shared" ref="C51:G51" si="16">C52+C55+C57+C70</f>
        <v>253968992.5</v>
      </c>
      <c r="D51" s="13">
        <f t="shared" si="16"/>
        <v>361749000</v>
      </c>
      <c r="E51" s="13">
        <f t="shared" si="16"/>
        <v>193450000</v>
      </c>
      <c r="F51" s="13">
        <f t="shared" si="16"/>
        <v>148450000</v>
      </c>
      <c r="G51" s="13">
        <f t="shared" si="16"/>
        <v>957617992.5</v>
      </c>
      <c r="H51" s="13">
        <v>710467992.5</v>
      </c>
    </row>
    <row r="52" spans="1:8" ht="16.8" outlineLevel="2" thickTop="1" thickBot="1" x14ac:dyDescent="0.35">
      <c r="A52" s="52" t="s">
        <v>98</v>
      </c>
      <c r="B52" s="16" t="s">
        <v>99</v>
      </c>
      <c r="C52" s="42">
        <f t="shared" ref="C52:G52" si="17">SUM(C53:C54)</f>
        <v>25000000</v>
      </c>
      <c r="D52" s="42">
        <f t="shared" si="17"/>
        <v>50000000</v>
      </c>
      <c r="E52" s="42">
        <f t="shared" si="17"/>
        <v>40000000</v>
      </c>
      <c r="F52" s="42">
        <f t="shared" si="17"/>
        <v>15000000</v>
      </c>
      <c r="G52" s="42">
        <f t="shared" si="17"/>
        <v>130000000</v>
      </c>
      <c r="H52" s="42">
        <v>130000000</v>
      </c>
    </row>
    <row r="53" spans="1:8" ht="31.2" outlineLevel="2" thickTop="1" thickBot="1" x14ac:dyDescent="0.35">
      <c r="A53" s="19" t="s">
        <v>100</v>
      </c>
      <c r="B53" s="32" t="s">
        <v>101</v>
      </c>
      <c r="C53" s="22">
        <f>0</f>
        <v>0</v>
      </c>
      <c r="D53" s="22">
        <f>0*(17952000+19000000)</f>
        <v>0</v>
      </c>
      <c r="E53" s="22">
        <f>0*(125309000+19000000)</f>
        <v>0</v>
      </c>
      <c r="F53" s="22">
        <f>0*(62654500+16084500)</f>
        <v>0</v>
      </c>
      <c r="G53" s="22">
        <f>SUM(C53:F53)</f>
        <v>0</v>
      </c>
      <c r="H53" s="22">
        <v>0</v>
      </c>
    </row>
    <row r="54" spans="1:8" ht="31.2" outlineLevel="2" thickTop="1" thickBot="1" x14ac:dyDescent="0.35">
      <c r="A54" s="19" t="s">
        <v>102</v>
      </c>
      <c r="B54" s="32" t="s">
        <v>103</v>
      </c>
      <c r="C54" s="22">
        <f>50000000/2</f>
        <v>25000000</v>
      </c>
      <c r="D54" s="22">
        <f>100000000/2</f>
        <v>50000000</v>
      </c>
      <c r="E54" s="22">
        <f>80000000/2</f>
        <v>40000000</v>
      </c>
      <c r="F54" s="22">
        <f>30000000/2</f>
        <v>15000000</v>
      </c>
      <c r="G54" s="22">
        <f>SUM(C54:F54)</f>
        <v>130000000</v>
      </c>
      <c r="H54" s="22">
        <v>130000000</v>
      </c>
    </row>
    <row r="55" spans="1:8" ht="16.8" outlineLevel="2" thickTop="1" thickBot="1" x14ac:dyDescent="0.35">
      <c r="A55" s="52" t="s">
        <v>104</v>
      </c>
      <c r="B55" s="16" t="s">
        <v>105</v>
      </c>
      <c r="C55" s="42">
        <f t="shared" ref="C55:G55" si="18">C56</f>
        <v>0</v>
      </c>
      <c r="D55" s="42">
        <f t="shared" si="18"/>
        <v>0</v>
      </c>
      <c r="E55" s="42">
        <f t="shared" si="18"/>
        <v>0</v>
      </c>
      <c r="F55" s="42">
        <f t="shared" si="18"/>
        <v>0</v>
      </c>
      <c r="G55" s="42">
        <f t="shared" si="18"/>
        <v>0</v>
      </c>
      <c r="H55" s="42">
        <v>0</v>
      </c>
    </row>
    <row r="56" spans="1:8" ht="31.2" outlineLevel="2" thickTop="1" thickBot="1" x14ac:dyDescent="0.35">
      <c r="A56" s="47" t="s">
        <v>106</v>
      </c>
      <c r="B56" s="48" t="s">
        <v>107</v>
      </c>
      <c r="C56" s="55">
        <f>0*36018600</f>
        <v>0</v>
      </c>
      <c r="D56" s="55">
        <f>0*50000000</f>
        <v>0</v>
      </c>
      <c r="E56" s="55">
        <v>0</v>
      </c>
      <c r="F56" s="55">
        <f>0*18009300</f>
        <v>0</v>
      </c>
      <c r="G56" s="56">
        <f>SUM(C56:F56)</f>
        <v>0</v>
      </c>
      <c r="H56" s="56">
        <v>0</v>
      </c>
    </row>
    <row r="57" spans="1:8" ht="16.8" outlineLevel="2" thickTop="1" thickBot="1" x14ac:dyDescent="0.35">
      <c r="A57" s="52" t="s">
        <v>108</v>
      </c>
      <c r="B57" s="16" t="s">
        <v>109</v>
      </c>
      <c r="C57" s="42">
        <f>SUM(C58:C69)</f>
        <v>228968992.5</v>
      </c>
      <c r="D57" s="42">
        <f t="shared" ref="D57:F57" si="19">SUM(D58:D69)</f>
        <v>311749000</v>
      </c>
      <c r="E57" s="42">
        <f t="shared" si="19"/>
        <v>135950000</v>
      </c>
      <c r="F57" s="42">
        <f t="shared" si="19"/>
        <v>115950000</v>
      </c>
      <c r="G57" s="42">
        <f>SUM(G58:G69)</f>
        <v>792617992.5</v>
      </c>
      <c r="H57" s="42">
        <v>545467992.5</v>
      </c>
    </row>
    <row r="58" spans="1:8" ht="31.2" outlineLevel="2" thickTop="1" thickBot="1" x14ac:dyDescent="0.35">
      <c r="A58" s="19" t="s">
        <v>110</v>
      </c>
      <c r="B58" s="32" t="s">
        <v>111</v>
      </c>
      <c r="C58" s="22">
        <f>((81008385/2)+964800)+50000000</f>
        <v>91468992.5</v>
      </c>
      <c r="D58" s="22">
        <f xml:space="preserve"> (34249000)+50000000</f>
        <v>84249000</v>
      </c>
      <c r="E58" s="22">
        <f>0+25000000</f>
        <v>25000000</v>
      </c>
      <c r="F58" s="22">
        <f>0+25000000</f>
        <v>25000000</v>
      </c>
      <c r="G58" s="21">
        <f>SUM(C58:F58)</f>
        <v>225717992.5</v>
      </c>
      <c r="H58" s="21">
        <v>75717992.5</v>
      </c>
    </row>
    <row r="59" spans="1:8" ht="31.2" outlineLevel="2" thickTop="1" thickBot="1" x14ac:dyDescent="0.35">
      <c r="A59" s="19" t="s">
        <v>112</v>
      </c>
      <c r="B59" s="32" t="s">
        <v>113</v>
      </c>
      <c r="C59" s="22">
        <v>10000000</v>
      </c>
      <c r="D59" s="22">
        <v>15000000</v>
      </c>
      <c r="E59" s="22">
        <f>0*25000000</f>
        <v>0</v>
      </c>
      <c r="F59" s="22">
        <f>0*10000000</f>
        <v>0</v>
      </c>
      <c r="G59" s="21">
        <f t="shared" ref="G59:G66" si="20">SUM(C59:F59)</f>
        <v>25000000</v>
      </c>
      <c r="H59" s="21">
        <v>25000000</v>
      </c>
    </row>
    <row r="60" spans="1:8" ht="16.2" outlineLevel="2" thickTop="1" thickBot="1" x14ac:dyDescent="0.35">
      <c r="A60" s="19" t="s">
        <v>114</v>
      </c>
      <c r="B60" s="20" t="s">
        <v>115</v>
      </c>
      <c r="C60" s="22">
        <f>10000000*0</f>
        <v>0</v>
      </c>
      <c r="D60" s="22">
        <f>10000000*0</f>
        <v>0</v>
      </c>
      <c r="E60" s="22">
        <f>129099500*0</f>
        <v>0</v>
      </c>
      <c r="F60" s="22">
        <v>0</v>
      </c>
      <c r="G60" s="21">
        <f t="shared" si="20"/>
        <v>0</v>
      </c>
      <c r="H60" s="21">
        <v>0</v>
      </c>
    </row>
    <row r="61" spans="1:8" ht="16.2" outlineLevel="2" thickTop="1" thickBot="1" x14ac:dyDescent="0.35">
      <c r="A61" s="19" t="s">
        <v>116</v>
      </c>
      <c r="B61" s="32" t="s">
        <v>117</v>
      </c>
      <c r="C61" s="22">
        <f>14500000-4500000</f>
        <v>10000000</v>
      </c>
      <c r="D61" s="22">
        <v>0</v>
      </c>
      <c r="E61" s="22">
        <v>0</v>
      </c>
      <c r="F61" s="22">
        <v>0</v>
      </c>
      <c r="G61" s="21">
        <f t="shared" si="20"/>
        <v>10000000</v>
      </c>
      <c r="H61" s="21">
        <v>10000000</v>
      </c>
    </row>
    <row r="62" spans="1:8" ht="31.2" outlineLevel="2" thickTop="1" thickBot="1" x14ac:dyDescent="0.35">
      <c r="A62" s="47" t="s">
        <v>118</v>
      </c>
      <c r="B62" s="48" t="s">
        <v>119</v>
      </c>
      <c r="C62" s="22">
        <f>0*300000000</f>
        <v>0</v>
      </c>
      <c r="D62" s="22">
        <f>0*50000000</f>
        <v>0</v>
      </c>
      <c r="E62" s="22">
        <f>0*50000000</f>
        <v>0</v>
      </c>
      <c r="F62" s="22">
        <f>0</f>
        <v>0</v>
      </c>
      <c r="G62" s="21">
        <f>SUM(C62:F62)</f>
        <v>0</v>
      </c>
      <c r="H62" s="21">
        <v>0</v>
      </c>
    </row>
    <row r="63" spans="1:8" ht="16.2" outlineLevel="2" thickTop="1" thickBot="1" x14ac:dyDescent="0.35">
      <c r="A63" s="19" t="s">
        <v>120</v>
      </c>
      <c r="B63" s="32" t="s">
        <v>121</v>
      </c>
      <c r="C63" s="22">
        <f>72300000-12300000</f>
        <v>60000000</v>
      </c>
      <c r="D63" s="22">
        <f>72300000-12300000</f>
        <v>60000000</v>
      </c>
      <c r="E63" s="22">
        <f>72300000-12300000</f>
        <v>60000000</v>
      </c>
      <c r="F63" s="22">
        <f>72300000-12300000</f>
        <v>60000000</v>
      </c>
      <c r="G63" s="21">
        <f>SUM(C63:F63)</f>
        <v>240000000</v>
      </c>
      <c r="H63" s="21">
        <v>240000000</v>
      </c>
    </row>
    <row r="64" spans="1:8" ht="31.2" outlineLevel="2" thickTop="1" thickBot="1" x14ac:dyDescent="0.35">
      <c r="A64" s="58" t="s">
        <v>122</v>
      </c>
      <c r="B64" s="32" t="s">
        <v>123</v>
      </c>
      <c r="C64" s="22">
        <f>12500000</f>
        <v>12500000</v>
      </c>
      <c r="D64" s="22">
        <v>22500000</v>
      </c>
      <c r="E64" s="22">
        <f>12500000</f>
        <v>12500000</v>
      </c>
      <c r="F64" s="22">
        <f>12500000</f>
        <v>12500000</v>
      </c>
      <c r="G64" s="22">
        <f>SUM(C64:F64)</f>
        <v>60000000</v>
      </c>
      <c r="H64" s="22">
        <v>60000000</v>
      </c>
    </row>
    <row r="65" spans="1:8" ht="16.2" outlineLevel="2" thickTop="1" thickBot="1" x14ac:dyDescent="0.35">
      <c r="A65" s="59" t="s">
        <v>124</v>
      </c>
      <c r="B65" s="20" t="s">
        <v>125</v>
      </c>
      <c r="C65" s="22">
        <f>12500000-(5000000)</f>
        <v>7500000</v>
      </c>
      <c r="D65" s="22">
        <f>19500000+(5000000)-((300000+50000)*3)</f>
        <v>23450000</v>
      </c>
      <c r="E65" s="22">
        <f>19500000-((300000+50000)*3)</f>
        <v>18450000</v>
      </c>
      <c r="F65" s="22">
        <f>19500000-((300000+50000)*3)</f>
        <v>18450000</v>
      </c>
      <c r="G65" s="22">
        <f t="shared" si="20"/>
        <v>67850000</v>
      </c>
      <c r="H65" s="22">
        <v>71000000</v>
      </c>
    </row>
    <row r="66" spans="1:8" ht="16.2" outlineLevel="2" thickTop="1" thickBot="1" x14ac:dyDescent="0.35">
      <c r="A66" s="59" t="s">
        <v>126</v>
      </c>
      <c r="B66" s="20" t="s">
        <v>127</v>
      </c>
      <c r="C66" s="22">
        <f>90000000/2/2</f>
        <v>22500000</v>
      </c>
      <c r="D66" s="22">
        <f>(0*470000000/2/2)+(45000000/2/2)</f>
        <v>11250000</v>
      </c>
      <c r="E66" s="22">
        <f>0*415000000/2/2</f>
        <v>0</v>
      </c>
      <c r="F66" s="22">
        <f>0*45000000/2/2</f>
        <v>0</v>
      </c>
      <c r="G66" s="22">
        <f t="shared" si="20"/>
        <v>33750000</v>
      </c>
      <c r="H66" s="22">
        <v>33750000</v>
      </c>
    </row>
    <row r="67" spans="1:8" ht="16.2" outlineLevel="2" thickTop="1" thickBot="1" x14ac:dyDescent="0.35">
      <c r="A67" s="132" t="s">
        <v>128</v>
      </c>
      <c r="B67" s="53" t="s">
        <v>129</v>
      </c>
      <c r="C67" s="25">
        <f>40000000-25000000</f>
        <v>15000000</v>
      </c>
      <c r="D67" s="133">
        <f>(52500000-30000000-7500000)+80000000+2*15*10000</f>
        <v>95300000</v>
      </c>
      <c r="E67" s="25">
        <f>0+20000000</f>
        <v>20000000</v>
      </c>
      <c r="F67" s="25">
        <v>0</v>
      </c>
      <c r="G67" s="25">
        <f>SUM(C67:F67)</f>
        <v>130300000</v>
      </c>
      <c r="H67" s="25">
        <v>30000000</v>
      </c>
    </row>
    <row r="68" spans="1:8" ht="16.2" outlineLevel="2" thickTop="1" thickBot="1" x14ac:dyDescent="0.35">
      <c r="A68" s="58" t="s">
        <v>130</v>
      </c>
      <c r="B68" s="32" t="s">
        <v>131</v>
      </c>
      <c r="C68" s="22">
        <f>0*((40000000/2)-10000000)</f>
        <v>0</v>
      </c>
      <c r="D68" s="22">
        <f>(52500000/2)-16250000-10000000</f>
        <v>0</v>
      </c>
      <c r="E68" s="22">
        <v>0</v>
      </c>
      <c r="F68" s="22">
        <v>0</v>
      </c>
      <c r="G68" s="22">
        <f>SUM(C68:F68)</f>
        <v>0</v>
      </c>
      <c r="H68" s="22">
        <v>0</v>
      </c>
    </row>
    <row r="69" spans="1:8" ht="31.2" outlineLevel="2" thickTop="1" thickBot="1" x14ac:dyDescent="0.35">
      <c r="A69" s="36" t="s">
        <v>132</v>
      </c>
      <c r="B69" s="41" t="s">
        <v>133</v>
      </c>
      <c r="C69" s="22">
        <f>0*15000000</f>
        <v>0</v>
      </c>
      <c r="D69" s="22">
        <f>0*20000000</f>
        <v>0</v>
      </c>
      <c r="E69" s="22">
        <f>0*30000000</f>
        <v>0</v>
      </c>
      <c r="F69" s="22">
        <f>0</f>
        <v>0</v>
      </c>
      <c r="G69" s="21">
        <f>SUM(C69:F69)</f>
        <v>0</v>
      </c>
      <c r="H69" s="21">
        <v>0</v>
      </c>
    </row>
    <row r="70" spans="1:8" ht="32.4" outlineLevel="2" thickTop="1" thickBot="1" x14ac:dyDescent="0.35">
      <c r="A70" s="52" t="s">
        <v>134</v>
      </c>
      <c r="B70" s="16" t="s">
        <v>135</v>
      </c>
      <c r="C70" s="42">
        <f t="shared" ref="C70:G70" si="21">C71</f>
        <v>0</v>
      </c>
      <c r="D70" s="42">
        <f t="shared" si="21"/>
        <v>0</v>
      </c>
      <c r="E70" s="42">
        <f t="shared" si="21"/>
        <v>17500000</v>
      </c>
      <c r="F70" s="42">
        <f t="shared" si="21"/>
        <v>17500000</v>
      </c>
      <c r="G70" s="42">
        <f t="shared" si="21"/>
        <v>35000000</v>
      </c>
      <c r="H70" s="42">
        <v>35000000</v>
      </c>
    </row>
    <row r="71" spans="1:8" ht="16.2" outlineLevel="2" thickTop="1" thickBot="1" x14ac:dyDescent="0.35">
      <c r="A71" s="19" t="s">
        <v>136</v>
      </c>
      <c r="B71" s="32" t="s">
        <v>137</v>
      </c>
      <c r="C71" s="22">
        <f>0/4</f>
        <v>0</v>
      </c>
      <c r="D71" s="22">
        <f>0/4</f>
        <v>0</v>
      </c>
      <c r="E71" s="22">
        <f>17500000</f>
        <v>17500000</v>
      </c>
      <c r="F71" s="22">
        <f>17500000</f>
        <v>17500000</v>
      </c>
      <c r="G71" s="60">
        <f>SUM(C71:F71)</f>
        <v>35000000</v>
      </c>
      <c r="H71" s="60">
        <v>35000000</v>
      </c>
    </row>
    <row r="72" spans="1:8" ht="22.2" customHeight="1" outlineLevel="1" thickTop="1" thickBot="1" x14ac:dyDescent="0.35">
      <c r="A72" s="109"/>
      <c r="B72" s="110"/>
      <c r="C72" s="111"/>
      <c r="D72" s="111"/>
      <c r="E72" s="111"/>
      <c r="F72" s="111"/>
      <c r="G72" s="112"/>
      <c r="H72" s="112"/>
    </row>
    <row r="73" spans="1:8" ht="32.4" thickTop="1" thickBot="1" x14ac:dyDescent="0.35">
      <c r="A73" s="122" t="s">
        <v>138</v>
      </c>
      <c r="B73" s="123" t="s">
        <v>139</v>
      </c>
      <c r="C73" s="124">
        <f t="shared" ref="C73:G73" si="22">C74+C77+C81+C93+C97</f>
        <v>196509365</v>
      </c>
      <c r="D73" s="124">
        <f t="shared" si="22"/>
        <v>286959137.03333282</v>
      </c>
      <c r="E73" s="124">
        <f t="shared" si="22"/>
        <v>173472987.5</v>
      </c>
      <c r="F73" s="124">
        <f t="shared" si="22"/>
        <v>114307987.5</v>
      </c>
      <c r="G73" s="124">
        <f t="shared" si="22"/>
        <v>771249477.03333282</v>
      </c>
      <c r="H73" s="124">
        <v>541540540</v>
      </c>
    </row>
    <row r="74" spans="1:8" ht="32.4" outlineLevel="1" thickTop="1" thickBot="1" x14ac:dyDescent="0.35">
      <c r="A74" s="54" t="s">
        <v>140</v>
      </c>
      <c r="B74" s="12" t="s">
        <v>141</v>
      </c>
      <c r="C74" s="13">
        <f t="shared" ref="C74:G74" si="23">C75</f>
        <v>18291000</v>
      </c>
      <c r="D74" s="13">
        <f t="shared" si="23"/>
        <v>18291000</v>
      </c>
      <c r="E74" s="13">
        <f t="shared" si="23"/>
        <v>18291000</v>
      </c>
      <c r="F74" s="13">
        <f t="shared" si="23"/>
        <v>18291000</v>
      </c>
      <c r="G74" s="13">
        <f t="shared" si="23"/>
        <v>73164000</v>
      </c>
      <c r="H74" s="13">
        <v>73164000</v>
      </c>
    </row>
    <row r="75" spans="1:8" ht="48" hidden="1" outlineLevel="2" thickTop="1" thickBot="1" x14ac:dyDescent="0.35">
      <c r="A75" s="52" t="s">
        <v>142</v>
      </c>
      <c r="B75" s="16" t="s">
        <v>143</v>
      </c>
      <c r="C75" s="42">
        <f>SUM(C76)</f>
        <v>18291000</v>
      </c>
      <c r="D75" s="42">
        <f t="shared" ref="D75:F75" si="24">SUM(D76)</f>
        <v>18291000</v>
      </c>
      <c r="E75" s="42">
        <f t="shared" si="24"/>
        <v>18291000</v>
      </c>
      <c r="F75" s="42">
        <f t="shared" si="24"/>
        <v>18291000</v>
      </c>
      <c r="G75" s="42">
        <f>SUM(G76)</f>
        <v>73164000</v>
      </c>
      <c r="H75" s="42">
        <v>73164000</v>
      </c>
    </row>
    <row r="76" spans="1:8" ht="16.2" hidden="1" outlineLevel="2" thickTop="1" thickBot="1" x14ac:dyDescent="0.35">
      <c r="A76" s="19" t="s">
        <v>144</v>
      </c>
      <c r="B76" s="32" t="s">
        <v>145</v>
      </c>
      <c r="C76" s="62">
        <f>G76/4</f>
        <v>18291000</v>
      </c>
      <c r="D76" s="62">
        <f>G76/4</f>
        <v>18291000</v>
      </c>
      <c r="E76" s="62">
        <f>G76/4</f>
        <v>18291000</v>
      </c>
      <c r="F76" s="62">
        <f>G76/4</f>
        <v>18291000</v>
      </c>
      <c r="G76" s="60">
        <v>73164000</v>
      </c>
      <c r="H76" s="60">
        <v>73164000</v>
      </c>
    </row>
    <row r="77" spans="1:8" ht="32.4" outlineLevel="1" collapsed="1" thickTop="1" thickBot="1" x14ac:dyDescent="0.35">
      <c r="A77" s="54" t="s">
        <v>146</v>
      </c>
      <c r="B77" s="12" t="s">
        <v>147</v>
      </c>
      <c r="C77" s="13">
        <f t="shared" ref="C77:G77" si="25">C78</f>
        <v>10000000</v>
      </c>
      <c r="D77" s="13">
        <f t="shared" si="25"/>
        <v>19660000</v>
      </c>
      <c r="E77" s="13">
        <f t="shared" si="25"/>
        <v>8110000</v>
      </c>
      <c r="F77" s="13">
        <f t="shared" si="25"/>
        <v>8110000</v>
      </c>
      <c r="G77" s="13">
        <f t="shared" si="25"/>
        <v>45880000</v>
      </c>
      <c r="H77" s="13">
        <v>40000000</v>
      </c>
    </row>
    <row r="78" spans="1:8" ht="32.4" hidden="1" outlineLevel="2" thickTop="1" thickBot="1" x14ac:dyDescent="0.35">
      <c r="A78" s="52" t="s">
        <v>148</v>
      </c>
      <c r="B78" s="16" t="s">
        <v>149</v>
      </c>
      <c r="C78" s="42">
        <f t="shared" ref="C78:G78" si="26">SUM(C79:C80)</f>
        <v>10000000</v>
      </c>
      <c r="D78" s="42">
        <f t="shared" si="26"/>
        <v>19660000</v>
      </c>
      <c r="E78" s="42">
        <f t="shared" si="26"/>
        <v>8110000</v>
      </c>
      <c r="F78" s="42">
        <f t="shared" si="26"/>
        <v>8110000</v>
      </c>
      <c r="G78" s="42">
        <f t="shared" si="26"/>
        <v>45880000</v>
      </c>
      <c r="H78" s="42">
        <v>40000000</v>
      </c>
    </row>
    <row r="79" spans="1:8" ht="16.2" hidden="1" outlineLevel="2" thickTop="1" thickBot="1" x14ac:dyDescent="0.35">
      <c r="A79" s="19" t="s">
        <v>150</v>
      </c>
      <c r="B79" s="32" t="s">
        <v>151</v>
      </c>
      <c r="C79" s="62">
        <f>40000000/4</f>
        <v>10000000</v>
      </c>
      <c r="D79" s="62">
        <f>(40000000/4)-((580000+50000)*3)</f>
        <v>8110000</v>
      </c>
      <c r="E79" s="62">
        <f>(40000000/4)-((580000+50000)*3)</f>
        <v>8110000</v>
      </c>
      <c r="F79" s="62">
        <f>(40000000/4)-((580000+50000)*3)</f>
        <v>8110000</v>
      </c>
      <c r="G79" s="60">
        <f>SUM(C79:F79)</f>
        <v>34330000</v>
      </c>
      <c r="H79" s="60">
        <v>40000000</v>
      </c>
    </row>
    <row r="80" spans="1:8" ht="16.2" hidden="1" outlineLevel="2" thickTop="1" thickBot="1" x14ac:dyDescent="0.35">
      <c r="A80" s="19" t="s">
        <v>152</v>
      </c>
      <c r="B80" s="32" t="s">
        <v>153</v>
      </c>
      <c r="C80" s="62">
        <f>0*7000000</f>
        <v>0</v>
      </c>
      <c r="D80" s="62">
        <f>4050000+7500000</f>
        <v>11550000</v>
      </c>
      <c r="E80" s="62">
        <f>0/4</f>
        <v>0</v>
      </c>
      <c r="F80" s="62">
        <v>0</v>
      </c>
      <c r="G80" s="60">
        <f>SUM(C80:F80)</f>
        <v>11550000</v>
      </c>
      <c r="H80" s="60">
        <v>0</v>
      </c>
    </row>
    <row r="81" spans="1:8" ht="16.8" outlineLevel="1" collapsed="1" thickTop="1" thickBot="1" x14ac:dyDescent="0.35">
      <c r="A81" s="54" t="s">
        <v>154</v>
      </c>
      <c r="B81" s="12" t="s">
        <v>155</v>
      </c>
      <c r="C81" s="13">
        <f t="shared" ref="C81:G81" si="27">C82</f>
        <v>124032565</v>
      </c>
      <c r="D81" s="13">
        <f t="shared" si="27"/>
        <v>176077337.03333279</v>
      </c>
      <c r="E81" s="13">
        <f t="shared" si="27"/>
        <v>56676187.5</v>
      </c>
      <c r="F81" s="13">
        <f t="shared" si="27"/>
        <v>17176187.5</v>
      </c>
      <c r="G81" s="13">
        <f t="shared" si="27"/>
        <v>373962277.03333282</v>
      </c>
      <c r="H81" s="13">
        <v>225963340</v>
      </c>
    </row>
    <row r="82" spans="1:8" ht="32.4" hidden="1" outlineLevel="2" thickTop="1" thickBot="1" x14ac:dyDescent="0.35">
      <c r="A82" s="52" t="s">
        <v>156</v>
      </c>
      <c r="B82" s="16" t="s">
        <v>157</v>
      </c>
      <c r="C82" s="42">
        <f>SUM(C83:C92)</f>
        <v>124032565</v>
      </c>
      <c r="D82" s="42">
        <f t="shared" ref="D82:F82" si="28">SUM(D83:D92)</f>
        <v>176077337.03333279</v>
      </c>
      <c r="E82" s="42">
        <f t="shared" si="28"/>
        <v>56676187.5</v>
      </c>
      <c r="F82" s="42">
        <f t="shared" si="28"/>
        <v>17176187.5</v>
      </c>
      <c r="G82" s="42">
        <f>SUM(G83:G92)</f>
        <v>373962277.03333282</v>
      </c>
      <c r="H82" s="42">
        <v>225963340</v>
      </c>
    </row>
    <row r="83" spans="1:8" ht="16.2" hidden="1" outlineLevel="2" thickTop="1" thickBot="1" x14ac:dyDescent="0.35">
      <c r="A83" s="19" t="s">
        <v>158</v>
      </c>
      <c r="B83" s="32" t="s">
        <v>159</v>
      </c>
      <c r="C83" s="44">
        <v>17978750</v>
      </c>
      <c r="D83" s="22">
        <v>3078400</v>
      </c>
      <c r="E83" s="22">
        <f>24352375/2</f>
        <v>12176187.5</v>
      </c>
      <c r="F83" s="22">
        <f>24352375/2</f>
        <v>12176187.5</v>
      </c>
      <c r="G83" s="21">
        <f>SUM(C83:F83)</f>
        <v>45409525</v>
      </c>
      <c r="H83" s="21">
        <v>45409525</v>
      </c>
    </row>
    <row r="84" spans="1:8" ht="16.2" hidden="1" outlineLevel="2" thickTop="1" thickBot="1" x14ac:dyDescent="0.35">
      <c r="A84" s="63" t="s">
        <v>160</v>
      </c>
      <c r="B84" s="64" t="s">
        <v>161</v>
      </c>
      <c r="C84" s="44">
        <v>9500000</v>
      </c>
      <c r="D84" s="44">
        <f>0</f>
        <v>0</v>
      </c>
      <c r="E84" s="44">
        <v>9500000</v>
      </c>
      <c r="F84" s="22">
        <f>0</f>
        <v>0</v>
      </c>
      <c r="G84" s="21">
        <f t="shared" ref="G84:G90" si="29">SUM(C84:F84)</f>
        <v>19000000</v>
      </c>
      <c r="H84" s="21">
        <v>19000000</v>
      </c>
    </row>
    <row r="85" spans="1:8" ht="31.2" hidden="1" outlineLevel="2" thickTop="1" thickBot="1" x14ac:dyDescent="0.35">
      <c r="A85" s="50" t="s">
        <v>162</v>
      </c>
      <c r="B85" s="20" t="s">
        <v>163</v>
      </c>
      <c r="C85" s="22">
        <f>20000000/2</f>
        <v>10000000</v>
      </c>
      <c r="D85" s="22">
        <f>(50000000/2)+27998937.0333328 +20000000+40000000+40000000</f>
        <v>152998937.03333279</v>
      </c>
      <c r="E85" s="22">
        <f>30000000/2+20000000</f>
        <v>35000000</v>
      </c>
      <c r="F85" s="22">
        <f>10000000/2</f>
        <v>5000000</v>
      </c>
      <c r="G85" s="21">
        <f>SUM(C85:F85)</f>
        <v>202998937.03333279</v>
      </c>
      <c r="H85" s="21">
        <v>55000000</v>
      </c>
    </row>
    <row r="86" spans="1:8" ht="31.2" hidden="1" outlineLevel="2" thickTop="1" thickBot="1" x14ac:dyDescent="0.35">
      <c r="A86" s="50" t="s">
        <v>164</v>
      </c>
      <c r="B86" s="20" t="s">
        <v>165</v>
      </c>
      <c r="C86" s="22">
        <v>11500000</v>
      </c>
      <c r="D86" s="22">
        <v>0</v>
      </c>
      <c r="E86" s="22">
        <f>0/4</f>
        <v>0</v>
      </c>
      <c r="F86" s="22">
        <v>0</v>
      </c>
      <c r="G86" s="21">
        <f t="shared" si="29"/>
        <v>11500000</v>
      </c>
      <c r="H86" s="21">
        <v>11500000</v>
      </c>
    </row>
    <row r="87" spans="1:8" ht="16.2" hidden="1" outlineLevel="2" thickTop="1" thickBot="1" x14ac:dyDescent="0.35">
      <c r="A87" s="19" t="s">
        <v>166</v>
      </c>
      <c r="B87" s="20" t="s">
        <v>167</v>
      </c>
      <c r="C87" s="22">
        <f>10000000</f>
        <v>10000000</v>
      </c>
      <c r="D87" s="22">
        <v>0</v>
      </c>
      <c r="E87" s="22">
        <f>0/4</f>
        <v>0</v>
      </c>
      <c r="F87" s="22">
        <v>0</v>
      </c>
      <c r="G87" s="21">
        <f t="shared" si="29"/>
        <v>10000000</v>
      </c>
      <c r="H87" s="21">
        <v>10000000</v>
      </c>
    </row>
    <row r="88" spans="1:8" ht="31.2" hidden="1" outlineLevel="2" thickTop="1" thickBot="1" x14ac:dyDescent="0.35">
      <c r="A88" s="50" t="s">
        <v>168</v>
      </c>
      <c r="B88" s="20" t="s">
        <v>169</v>
      </c>
      <c r="C88" s="22">
        <f>0*15000000</f>
        <v>0</v>
      </c>
      <c r="D88" s="22">
        <f>0*10300000</f>
        <v>0</v>
      </c>
      <c r="E88" s="22">
        <f>0*(23850000+850000)</f>
        <v>0</v>
      </c>
      <c r="F88" s="22">
        <f>0</f>
        <v>0</v>
      </c>
      <c r="G88" s="21">
        <f>SUM(C88:F88)</f>
        <v>0</v>
      </c>
      <c r="H88" s="21">
        <v>0</v>
      </c>
    </row>
    <row r="89" spans="1:8" ht="16.2" hidden="1" outlineLevel="2" thickTop="1" thickBot="1" x14ac:dyDescent="0.35">
      <c r="A89" s="19" t="s">
        <v>170</v>
      </c>
      <c r="B89" s="32" t="s">
        <v>171</v>
      </c>
      <c r="C89" s="22">
        <f>25000000*0</f>
        <v>0</v>
      </c>
      <c r="D89" s="22">
        <f t="shared" ref="D89:F89" si="30">25000000*0</f>
        <v>0</v>
      </c>
      <c r="E89" s="22">
        <f t="shared" si="30"/>
        <v>0</v>
      </c>
      <c r="F89" s="22">
        <f t="shared" si="30"/>
        <v>0</v>
      </c>
      <c r="G89" s="21">
        <f>SUM(C89:F89)</f>
        <v>0</v>
      </c>
      <c r="H89" s="21">
        <v>0</v>
      </c>
    </row>
    <row r="90" spans="1:8" ht="16.2" hidden="1" outlineLevel="2" thickTop="1" thickBot="1" x14ac:dyDescent="0.35">
      <c r="A90" s="50" t="s">
        <v>172</v>
      </c>
      <c r="B90" s="32" t="s">
        <v>173</v>
      </c>
      <c r="C90" s="22">
        <f>10000000+68053815-28000000</f>
        <v>50053815</v>
      </c>
      <c r="D90" s="22">
        <f>0</f>
        <v>0</v>
      </c>
      <c r="E90" s="22">
        <f>0</f>
        <v>0</v>
      </c>
      <c r="F90" s="22">
        <v>0</v>
      </c>
      <c r="G90" s="21">
        <f t="shared" si="29"/>
        <v>50053815</v>
      </c>
      <c r="H90" s="21">
        <v>50053815</v>
      </c>
    </row>
    <row r="91" spans="1:8" ht="31.2" hidden="1" outlineLevel="2" thickTop="1" thickBot="1" x14ac:dyDescent="0.35">
      <c r="A91" s="50" t="s">
        <v>174</v>
      </c>
      <c r="B91" s="32" t="s">
        <v>175</v>
      </c>
      <c r="C91" s="22">
        <f>0</f>
        <v>0</v>
      </c>
      <c r="D91" s="22">
        <f>30000000-10000000</f>
        <v>20000000</v>
      </c>
      <c r="E91" s="22">
        <f>0</f>
        <v>0</v>
      </c>
      <c r="F91" s="22">
        <f>0</f>
        <v>0</v>
      </c>
      <c r="G91" s="21">
        <f>SUM(C91:F91)</f>
        <v>20000000</v>
      </c>
      <c r="H91" s="21">
        <v>20000000</v>
      </c>
    </row>
    <row r="92" spans="1:8" ht="31.2" hidden="1" outlineLevel="2" thickTop="1" thickBot="1" x14ac:dyDescent="0.35">
      <c r="A92" s="65" t="s">
        <v>176</v>
      </c>
      <c r="B92" s="41" t="s">
        <v>177</v>
      </c>
      <c r="C92" s="22">
        <f>15000000</f>
        <v>15000000</v>
      </c>
      <c r="D92" s="22">
        <f>0</f>
        <v>0</v>
      </c>
      <c r="E92" s="22">
        <f>0</f>
        <v>0</v>
      </c>
      <c r="F92" s="22">
        <f>0</f>
        <v>0</v>
      </c>
      <c r="G92" s="21">
        <f>SUM(C92:F92)</f>
        <v>15000000</v>
      </c>
      <c r="H92" s="21">
        <v>15000000</v>
      </c>
    </row>
    <row r="93" spans="1:8" ht="16.8" outlineLevel="1" collapsed="1" thickTop="1" thickBot="1" x14ac:dyDescent="0.35">
      <c r="A93" s="54" t="s">
        <v>178</v>
      </c>
      <c r="B93" s="12" t="s">
        <v>179</v>
      </c>
      <c r="C93" s="13">
        <f t="shared" ref="C93:F93" si="31">C94</f>
        <v>11694550</v>
      </c>
      <c r="D93" s="13">
        <f t="shared" si="31"/>
        <v>9354550</v>
      </c>
      <c r="E93" s="13">
        <f t="shared" si="31"/>
        <v>16854550</v>
      </c>
      <c r="F93" s="13">
        <f t="shared" si="31"/>
        <v>6854550</v>
      </c>
      <c r="G93" s="13">
        <f>G94</f>
        <v>44758200</v>
      </c>
      <c r="H93" s="13">
        <v>51778200</v>
      </c>
    </row>
    <row r="94" spans="1:8" ht="16.8" hidden="1" outlineLevel="2" thickTop="1" thickBot="1" x14ac:dyDescent="0.35">
      <c r="A94" s="52" t="s">
        <v>180</v>
      </c>
      <c r="B94" s="16" t="s">
        <v>181</v>
      </c>
      <c r="C94" s="42">
        <f>C96+C95</f>
        <v>11694550</v>
      </c>
      <c r="D94" s="42">
        <f t="shared" ref="D94:F94" si="32">D96+D95</f>
        <v>9354550</v>
      </c>
      <c r="E94" s="42">
        <f t="shared" si="32"/>
        <v>16854550</v>
      </c>
      <c r="F94" s="42">
        <f t="shared" si="32"/>
        <v>6854550</v>
      </c>
      <c r="G94" s="42">
        <f>G96+G95</f>
        <v>44758200</v>
      </c>
      <c r="H94" s="42">
        <v>51778200</v>
      </c>
    </row>
    <row r="95" spans="1:8" ht="16.2" hidden="1" outlineLevel="2" thickTop="1" thickBot="1" x14ac:dyDescent="0.35">
      <c r="A95" s="58" t="s">
        <v>182</v>
      </c>
      <c r="B95" s="32" t="s">
        <v>183</v>
      </c>
      <c r="C95" s="66">
        <f>7153500+2041050+2500000</f>
        <v>11694550</v>
      </c>
      <c r="D95" s="66">
        <f>7153500+2041050+2500000-((730000+50000)*3)</f>
        <v>9354550</v>
      </c>
      <c r="E95" s="22">
        <f>7153500+2041050-((730000+50000)*3)</f>
        <v>6854550</v>
      </c>
      <c r="F95" s="66">
        <f>7153500+2041050-((730000+50000)*3)</f>
        <v>6854550</v>
      </c>
      <c r="G95" s="22">
        <f>SUM(C95:F95)</f>
        <v>34758200</v>
      </c>
      <c r="H95" s="22">
        <v>41778200</v>
      </c>
    </row>
    <row r="96" spans="1:8" ht="16.2" hidden="1" outlineLevel="2" thickTop="1" thickBot="1" x14ac:dyDescent="0.35">
      <c r="A96" s="58" t="s">
        <v>184</v>
      </c>
      <c r="B96" s="32" t="s">
        <v>185</v>
      </c>
      <c r="C96" s="66">
        <f>0</f>
        <v>0</v>
      </c>
      <c r="D96" s="66">
        <f>0</f>
        <v>0</v>
      </c>
      <c r="E96" s="22">
        <v>10000000</v>
      </c>
      <c r="F96" s="66">
        <f>0</f>
        <v>0</v>
      </c>
      <c r="G96" s="22">
        <f>SUM(C96:F96)</f>
        <v>10000000</v>
      </c>
      <c r="H96" s="22">
        <v>10000000</v>
      </c>
    </row>
    <row r="97" spans="1:8" ht="16.8" outlineLevel="1" collapsed="1" thickTop="1" thickBot="1" x14ac:dyDescent="0.35">
      <c r="A97" s="54" t="s">
        <v>186</v>
      </c>
      <c r="B97" s="12" t="s">
        <v>187</v>
      </c>
      <c r="C97" s="13">
        <f>C98+C100+C102</f>
        <v>32491250</v>
      </c>
      <c r="D97" s="13">
        <f t="shared" ref="D97:F97" si="33">D98+D100+D102</f>
        <v>63576250</v>
      </c>
      <c r="E97" s="13">
        <f t="shared" si="33"/>
        <v>73541250</v>
      </c>
      <c r="F97" s="13">
        <f t="shared" si="33"/>
        <v>63876250</v>
      </c>
      <c r="G97" s="13">
        <f>G98+G100+G102</f>
        <v>233485000</v>
      </c>
      <c r="H97" s="13">
        <v>150635000</v>
      </c>
    </row>
    <row r="98" spans="1:8" ht="32.4" outlineLevel="2" thickTop="1" thickBot="1" x14ac:dyDescent="0.35">
      <c r="A98" s="52" t="s">
        <v>188</v>
      </c>
      <c r="B98" s="16" t="s">
        <v>189</v>
      </c>
      <c r="C98" s="42">
        <f t="shared" ref="C98:G98" si="34">C99</f>
        <v>21665000</v>
      </c>
      <c r="D98" s="42">
        <f t="shared" si="34"/>
        <v>12000000</v>
      </c>
      <c r="E98" s="42">
        <f t="shared" si="34"/>
        <v>21665000</v>
      </c>
      <c r="F98" s="42">
        <f t="shared" si="34"/>
        <v>12000000</v>
      </c>
      <c r="G98" s="42">
        <f t="shared" si="34"/>
        <v>67330000</v>
      </c>
      <c r="H98" s="42">
        <v>67330000</v>
      </c>
    </row>
    <row r="99" spans="1:8" ht="31.2" outlineLevel="2" thickTop="1" thickBot="1" x14ac:dyDescent="0.35">
      <c r="A99" s="19" t="s">
        <v>190</v>
      </c>
      <c r="B99" s="41" t="s">
        <v>191</v>
      </c>
      <c r="C99" s="22">
        <f>(16650000/10)+20000000</f>
        <v>21665000</v>
      </c>
      <c r="D99" s="22">
        <f>12000000</f>
        <v>12000000</v>
      </c>
      <c r="E99" s="22">
        <f>(16650000/10)+20000000</f>
        <v>21665000</v>
      </c>
      <c r="F99" s="22">
        <f>12000000</f>
        <v>12000000</v>
      </c>
      <c r="G99" s="60">
        <f>SUM(C99:F99)</f>
        <v>67330000</v>
      </c>
      <c r="H99" s="60">
        <v>67330000</v>
      </c>
    </row>
    <row r="100" spans="1:8" ht="16.8" outlineLevel="2" thickTop="1" thickBot="1" x14ac:dyDescent="0.35">
      <c r="A100" s="52" t="s">
        <v>192</v>
      </c>
      <c r="B100" s="16" t="s">
        <v>193</v>
      </c>
      <c r="C100" s="42">
        <f t="shared" ref="C100:G102" si="35">C101</f>
        <v>10826250</v>
      </c>
      <c r="D100" s="42">
        <f t="shared" si="35"/>
        <v>18186250</v>
      </c>
      <c r="E100" s="42">
        <f t="shared" si="35"/>
        <v>18486250</v>
      </c>
      <c r="F100" s="42">
        <f t="shared" si="35"/>
        <v>18486250</v>
      </c>
      <c r="G100" s="42">
        <f t="shared" si="35"/>
        <v>65985000</v>
      </c>
      <c r="H100" s="42">
        <v>83305000</v>
      </c>
    </row>
    <row r="101" spans="1:8" ht="16.2" outlineLevel="2" thickTop="1" thickBot="1" x14ac:dyDescent="0.35">
      <c r="A101" s="134" t="s">
        <v>194</v>
      </c>
      <c r="B101" s="53" t="s">
        <v>195</v>
      </c>
      <c r="C101" s="25">
        <f>((35000000+6652500)/2)-10000000</f>
        <v>10826250</v>
      </c>
      <c r="D101" s="135">
        <f>((35000000+6652500)/2)-((730000+50000)*3)-2*15*10000</f>
        <v>18186250</v>
      </c>
      <c r="E101" s="25">
        <f>((35000000+6652500)/2)-((730000+50000)*3)</f>
        <v>18486250</v>
      </c>
      <c r="F101" s="25">
        <f>((35000000+6652500)/2)-((730000+50000)*3)</f>
        <v>18486250</v>
      </c>
      <c r="G101" s="26">
        <f>SUM(C101:F101)</f>
        <v>65985000</v>
      </c>
      <c r="H101" s="26">
        <v>83305000</v>
      </c>
    </row>
    <row r="102" spans="1:8" ht="16.8" outlineLevel="2" thickTop="1" thickBot="1" x14ac:dyDescent="0.35">
      <c r="A102" s="52" t="s">
        <v>246</v>
      </c>
      <c r="B102" s="16" t="s">
        <v>247</v>
      </c>
      <c r="C102" s="42">
        <f t="shared" si="35"/>
        <v>0</v>
      </c>
      <c r="D102" s="42">
        <f t="shared" si="35"/>
        <v>33390000</v>
      </c>
      <c r="E102" s="42">
        <f t="shared" si="35"/>
        <v>33390000</v>
      </c>
      <c r="F102" s="42">
        <f t="shared" si="35"/>
        <v>33390000</v>
      </c>
      <c r="G102" s="42">
        <f t="shared" si="35"/>
        <v>100170000</v>
      </c>
      <c r="H102" s="21">
        <v>0</v>
      </c>
    </row>
    <row r="103" spans="1:8" ht="31.2" outlineLevel="2" thickTop="1" thickBot="1" x14ac:dyDescent="0.35">
      <c r="A103" s="19" t="s">
        <v>249</v>
      </c>
      <c r="B103" s="41" t="s">
        <v>248</v>
      </c>
      <c r="C103" s="22">
        <f>0</f>
        <v>0</v>
      </c>
      <c r="D103" s="22">
        <f>(6750000+(16*50000))*3+((780000+270000+1050000+730000+50000+630000+70000)*3)</f>
        <v>33390000</v>
      </c>
      <c r="E103" s="22">
        <f>(6750000+(16*50000))*3+((780000+270000+1050000+730000+50000+630000+70000)*3)</f>
        <v>33390000</v>
      </c>
      <c r="F103" s="22">
        <f>(6750000+(16*50000))*3+((780000+270000+1050000+730000+50000+630000+70000)*3)</f>
        <v>33390000</v>
      </c>
      <c r="G103" s="60">
        <f>SUM(C103:F103)</f>
        <v>100170000</v>
      </c>
      <c r="H103" s="60">
        <v>0</v>
      </c>
    </row>
    <row r="104" spans="1:8" ht="25.2" customHeight="1" outlineLevel="1" thickTop="1" thickBot="1" x14ac:dyDescent="0.35">
      <c r="A104" s="109"/>
      <c r="B104" s="110"/>
      <c r="C104" s="111"/>
      <c r="D104" s="111"/>
      <c r="E104" s="111"/>
      <c r="F104" s="111"/>
      <c r="G104" s="112"/>
      <c r="H104" s="112"/>
    </row>
    <row r="105" spans="1:8" ht="35.4" customHeight="1" thickTop="1" thickBot="1" x14ac:dyDescent="0.35">
      <c r="A105" s="98" t="s">
        <v>196</v>
      </c>
      <c r="B105" s="99" t="s">
        <v>197</v>
      </c>
      <c r="C105" s="100">
        <f t="shared" ref="C105:G105" si="36">C106</f>
        <v>586262466</v>
      </c>
      <c r="D105" s="100">
        <f t="shared" si="36"/>
        <v>1834119168.5</v>
      </c>
      <c r="E105" s="100">
        <f t="shared" si="36"/>
        <v>339616652</v>
      </c>
      <c r="F105" s="100">
        <f t="shared" si="36"/>
        <v>450867578</v>
      </c>
      <c r="G105" s="100">
        <f t="shared" si="36"/>
        <v>3210865864.5</v>
      </c>
      <c r="H105" s="100">
        <v>3412130053.5333328</v>
      </c>
    </row>
    <row r="106" spans="1:8" ht="16.8" outlineLevel="1" thickTop="1" thickBot="1" x14ac:dyDescent="0.35">
      <c r="A106" s="54" t="s">
        <v>198</v>
      </c>
      <c r="B106" s="12" t="s">
        <v>199</v>
      </c>
      <c r="C106" s="13">
        <f t="shared" ref="C106:F106" si="37">C107+C110</f>
        <v>586262466</v>
      </c>
      <c r="D106" s="13">
        <f t="shared" si="37"/>
        <v>1834119168.5</v>
      </c>
      <c r="E106" s="13">
        <f t="shared" si="37"/>
        <v>339616652</v>
      </c>
      <c r="F106" s="13">
        <f t="shared" si="37"/>
        <v>450867578</v>
      </c>
      <c r="G106" s="13">
        <f>G107+G110</f>
        <v>3210865864.5</v>
      </c>
      <c r="H106" s="13">
        <v>3412130053.5333328</v>
      </c>
    </row>
    <row r="107" spans="1:8" ht="32.4" hidden="1" outlineLevel="2" thickTop="1" thickBot="1" x14ac:dyDescent="0.35">
      <c r="A107" s="52" t="s">
        <v>200</v>
      </c>
      <c r="B107" s="16" t="s">
        <v>201</v>
      </c>
      <c r="C107" s="42">
        <f>SUM(C108:C109)</f>
        <v>242512466</v>
      </c>
      <c r="D107" s="42">
        <f t="shared" ref="D107:F107" si="38">SUM(D108:D109)</f>
        <v>301039168.5</v>
      </c>
      <c r="E107" s="42">
        <f t="shared" si="38"/>
        <v>186641652</v>
      </c>
      <c r="F107" s="42">
        <f t="shared" si="38"/>
        <v>368767578</v>
      </c>
      <c r="G107" s="42">
        <f>SUM(G108:G109)</f>
        <v>1098960864.5</v>
      </c>
      <c r="H107" s="42">
        <v>3128305053.5333328</v>
      </c>
    </row>
    <row r="108" spans="1:8" ht="16.2" hidden="1" outlineLevel="2" thickTop="1" thickBot="1" x14ac:dyDescent="0.35">
      <c r="A108" s="19" t="s">
        <v>202</v>
      </c>
      <c r="B108" s="41" t="s">
        <v>203</v>
      </c>
      <c r="C108" s="22">
        <f>((300000000 +500000000+485000000-500000000)*0)+ 160447466-(1560000)</f>
        <v>158887466</v>
      </c>
      <c r="D108" s="22">
        <f>(((550000000+250000000+160000000+64508669+(2*24999999)+648150.533332825-500000000)+100000000)*0)+134219141+1560000</f>
        <v>135779141</v>
      </c>
      <c r="E108" s="22">
        <f>(((500000000+659000000)+100000000)*0+94016652)</f>
        <v>94016652</v>
      </c>
      <c r="F108" s="22">
        <f>((((517700000+82300000+496792667+6483750)/2)+100000000)*0)+3524533333-3130765755-40000000</f>
        <v>353767578</v>
      </c>
      <c r="G108" s="60">
        <f>SUM(C108:F108)</f>
        <v>742450837</v>
      </c>
      <c r="H108" s="60">
        <v>3070795026.0333328</v>
      </c>
    </row>
    <row r="109" spans="1:8" ht="31.2" hidden="1" outlineLevel="2" thickTop="1" thickBot="1" x14ac:dyDescent="0.35">
      <c r="A109" s="19" t="s">
        <v>204</v>
      </c>
      <c r="B109" s="41" t="s">
        <v>205</v>
      </c>
      <c r="C109" s="22">
        <f>(27250000/2)+100000000-30000000</f>
        <v>83625000</v>
      </c>
      <c r="D109" s="22">
        <f>(610401100/20/2)+100000000+50000000</f>
        <v>165260027.5</v>
      </c>
      <c r="E109" s="22">
        <f>(218000000/8/2)+79000000</f>
        <v>92625000</v>
      </c>
      <c r="F109" s="22">
        <f>30000000/2</f>
        <v>15000000</v>
      </c>
      <c r="G109" s="60">
        <f>SUM(C109:F109)</f>
        <v>356510027.5</v>
      </c>
      <c r="H109" s="60">
        <v>57510027.5</v>
      </c>
    </row>
    <row r="110" spans="1:8" ht="32.4" hidden="1" outlineLevel="2" thickTop="1" thickBot="1" x14ac:dyDescent="0.35">
      <c r="A110" s="52" t="s">
        <v>207</v>
      </c>
      <c r="B110" s="16" t="s">
        <v>208</v>
      </c>
      <c r="C110" s="42">
        <f>SUM(C111:C119)</f>
        <v>343750000</v>
      </c>
      <c r="D110" s="42">
        <f>SUM(D111:D119)</f>
        <v>1533080000</v>
      </c>
      <c r="E110" s="42">
        <f>SUM(E111:E119)</f>
        <v>152975000</v>
      </c>
      <c r="F110" s="42">
        <f>SUM(F111:F119)</f>
        <v>82100000</v>
      </c>
      <c r="G110" s="42">
        <f>SUM(G111:G119)</f>
        <v>2111905000</v>
      </c>
      <c r="H110" s="42">
        <v>283825000</v>
      </c>
    </row>
    <row r="111" spans="1:8" ht="16.2" hidden="1" outlineLevel="2" thickTop="1" thickBot="1" x14ac:dyDescent="0.35">
      <c r="A111" s="19" t="s">
        <v>209</v>
      </c>
      <c r="B111" s="32" t="s">
        <v>210</v>
      </c>
      <c r="C111" s="22">
        <f>10000000</f>
        <v>10000000</v>
      </c>
      <c r="D111" s="22">
        <f>10000000-(((1950000-300000)+50000)*3)</f>
        <v>4900000</v>
      </c>
      <c r="E111" s="22">
        <f>(47500000/4)--(((1950000-300000)+50000)*3)</f>
        <v>16975000</v>
      </c>
      <c r="F111" s="22">
        <f>(28800000/4)-(((1950000-300000)+50000)*3)</f>
        <v>2100000</v>
      </c>
      <c r="G111" s="21">
        <f>SUM(C111:F111)</f>
        <v>33975000</v>
      </c>
      <c r="H111" s="21">
        <v>39075000</v>
      </c>
    </row>
    <row r="112" spans="1:8" ht="16.2" hidden="1" outlineLevel="2" thickTop="1" thickBot="1" x14ac:dyDescent="0.35">
      <c r="A112" s="19" t="s">
        <v>211</v>
      </c>
      <c r="B112" s="32" t="s">
        <v>212</v>
      </c>
      <c r="C112" s="22">
        <f>220000000+100000000</f>
        <v>320000000</v>
      </c>
      <c r="D112" s="22">
        <f>0+300000000+100000000-50000000-13820000</f>
        <v>336180000</v>
      </c>
      <c r="E112" s="22">
        <f>0+100000000</f>
        <v>100000000</v>
      </c>
      <c r="F112" s="22">
        <f>0+80000000</f>
        <v>80000000</v>
      </c>
      <c r="G112" s="21">
        <f>SUM(C112:F112)</f>
        <v>836180000</v>
      </c>
      <c r="H112" s="21">
        <v>220000000</v>
      </c>
    </row>
    <row r="113" spans="1:8" ht="31.2" hidden="1" outlineLevel="2" thickTop="1" thickBot="1" x14ac:dyDescent="0.35">
      <c r="A113" s="19" t="s">
        <v>214</v>
      </c>
      <c r="B113" s="32" t="s">
        <v>215</v>
      </c>
      <c r="C113" s="22">
        <f>5272500*0</f>
        <v>0</v>
      </c>
      <c r="D113" s="22">
        <f>12303500*0</f>
        <v>0</v>
      </c>
      <c r="E113" s="22">
        <f>0*16200000/4</f>
        <v>0</v>
      </c>
      <c r="F113" s="22">
        <f>0*45000000/4</f>
        <v>0</v>
      </c>
      <c r="G113" s="21">
        <f t="shared" ref="G113:G116" si="39">SUM(C113:F113)</f>
        <v>0</v>
      </c>
      <c r="H113" s="21">
        <v>0</v>
      </c>
    </row>
    <row r="114" spans="1:8" ht="31.2" hidden="1" outlineLevel="2" thickTop="1" thickBot="1" x14ac:dyDescent="0.35">
      <c r="A114" s="19" t="s">
        <v>216</v>
      </c>
      <c r="B114" s="41" t="s">
        <v>217</v>
      </c>
      <c r="C114" s="22">
        <f>27500000/2</f>
        <v>13750000</v>
      </c>
      <c r="D114" s="22">
        <f>0*24500000/2</f>
        <v>0</v>
      </c>
      <c r="E114" s="22">
        <f>11000000</f>
        <v>11000000</v>
      </c>
      <c r="F114" s="22">
        <f>0*11120950/2</f>
        <v>0</v>
      </c>
      <c r="G114" s="21">
        <f>SUM(C114:F114)</f>
        <v>24750000</v>
      </c>
      <c r="H114" s="21">
        <v>24750000</v>
      </c>
    </row>
    <row r="115" spans="1:8" ht="16.2" hidden="1" outlineLevel="2" thickTop="1" thickBot="1" x14ac:dyDescent="0.35">
      <c r="A115" s="58" t="s">
        <v>218</v>
      </c>
      <c r="B115" s="32" t="s">
        <v>219</v>
      </c>
      <c r="C115" s="22">
        <f>0*25000000</f>
        <v>0</v>
      </c>
      <c r="D115" s="22">
        <f>0*15000000</f>
        <v>0</v>
      </c>
      <c r="E115" s="22">
        <f>0*10000000</f>
        <v>0</v>
      </c>
      <c r="F115" s="21">
        <v>0</v>
      </c>
      <c r="G115" s="21">
        <f>SUM(C115:F115)</f>
        <v>0</v>
      </c>
      <c r="H115" s="21">
        <v>0</v>
      </c>
    </row>
    <row r="116" spans="1:8" ht="16.2" hidden="1" outlineLevel="2" thickTop="1" thickBot="1" x14ac:dyDescent="0.35">
      <c r="A116" s="19" t="s">
        <v>220</v>
      </c>
      <c r="B116" s="41" t="s">
        <v>221</v>
      </c>
      <c r="C116" s="22">
        <f>0</f>
        <v>0</v>
      </c>
      <c r="D116" s="22">
        <f>0</f>
        <v>0</v>
      </c>
      <c r="E116" s="22">
        <f>0*((31650000/2)+10000000)</f>
        <v>0</v>
      </c>
      <c r="F116" s="22">
        <f>0*((31650000/2)+10000000)</f>
        <v>0</v>
      </c>
      <c r="G116" s="21">
        <f t="shared" si="39"/>
        <v>0</v>
      </c>
      <c r="H116" s="21">
        <v>0</v>
      </c>
    </row>
    <row r="117" spans="1:8" ht="31.2" hidden="1" outlineLevel="2" thickTop="1" thickBot="1" x14ac:dyDescent="0.35">
      <c r="A117" s="19" t="s">
        <v>222</v>
      </c>
      <c r="B117" s="20" t="s">
        <v>223</v>
      </c>
      <c r="C117" s="22">
        <f>0*35000000</f>
        <v>0</v>
      </c>
      <c r="D117" s="22">
        <f>0*15000000</f>
        <v>0</v>
      </c>
      <c r="E117" s="22">
        <f>0*15000000</f>
        <v>0</v>
      </c>
      <c r="F117" s="22">
        <f>0*7000000</f>
        <v>0</v>
      </c>
      <c r="G117" s="21">
        <f>SUM(C117:F117)</f>
        <v>0</v>
      </c>
      <c r="H117" s="21">
        <v>0</v>
      </c>
    </row>
    <row r="118" spans="1:8" ht="31.2" hidden="1" outlineLevel="2" thickTop="1" thickBot="1" x14ac:dyDescent="0.35">
      <c r="A118" s="19" t="s">
        <v>224</v>
      </c>
      <c r="B118" s="20" t="s">
        <v>225</v>
      </c>
      <c r="C118" s="22">
        <f>0*35000000/2</f>
        <v>0</v>
      </c>
      <c r="D118" s="22">
        <f>(0*45000000/2)+45000000</f>
        <v>45000000</v>
      </c>
      <c r="E118" s="22">
        <f>(0*11500000/2)+25000000</f>
        <v>25000000</v>
      </c>
      <c r="F118" s="22">
        <v>0</v>
      </c>
      <c r="G118" s="21">
        <f>SUM(C118:F118)</f>
        <v>70000000</v>
      </c>
      <c r="H118" s="21">
        <v>0</v>
      </c>
    </row>
    <row r="119" spans="1:8" ht="16.2" hidden="1" outlineLevel="2" thickTop="1" thickBot="1" x14ac:dyDescent="0.35">
      <c r="A119" s="19" t="s">
        <v>226</v>
      </c>
      <c r="B119" s="20" t="s">
        <v>227</v>
      </c>
      <c r="C119" s="22"/>
      <c r="D119" s="22">
        <f>1147000000</f>
        <v>1147000000</v>
      </c>
      <c r="E119" s="22"/>
      <c r="F119" s="22"/>
      <c r="G119" s="21">
        <f>SUM(C119:F119)</f>
        <v>1147000000</v>
      </c>
      <c r="H119" s="21"/>
    </row>
    <row r="120" spans="1:8" ht="27" customHeight="1" outlineLevel="1" collapsed="1" thickTop="1" thickBot="1" x14ac:dyDescent="0.35">
      <c r="A120" s="109"/>
      <c r="B120" s="125"/>
      <c r="C120" s="111"/>
      <c r="D120" s="111"/>
      <c r="E120" s="111"/>
      <c r="F120" s="111"/>
      <c r="G120" s="112"/>
      <c r="H120" s="112"/>
    </row>
    <row r="121" spans="1:8" ht="34.799999999999997" customHeight="1" thickTop="1" thickBot="1" x14ac:dyDescent="0.35">
      <c r="A121" s="129" t="s">
        <v>228</v>
      </c>
      <c r="B121" s="130" t="s">
        <v>229</v>
      </c>
      <c r="C121" s="131">
        <f t="shared" ref="C121:F122" si="40">C122</f>
        <v>129987454</v>
      </c>
      <c r="D121" s="131">
        <f t="shared" si="40"/>
        <v>128153151</v>
      </c>
      <c r="E121" s="131">
        <f t="shared" si="40"/>
        <v>138836199.40000001</v>
      </c>
      <c r="F121" s="131">
        <f t="shared" si="40"/>
        <v>135937425.40000001</v>
      </c>
      <c r="G121" s="131">
        <f>G122</f>
        <v>532914229.79999995</v>
      </c>
      <c r="H121" s="131">
        <v>432914229.79999995</v>
      </c>
    </row>
    <row r="122" spans="1:8" ht="16.8" outlineLevel="1" thickTop="1" thickBot="1" x14ac:dyDescent="0.35">
      <c r="A122" s="54" t="s">
        <v>230</v>
      </c>
      <c r="B122" s="71" t="s">
        <v>231</v>
      </c>
      <c r="C122" s="13">
        <f t="shared" si="40"/>
        <v>129987454</v>
      </c>
      <c r="D122" s="13">
        <f t="shared" si="40"/>
        <v>128153151</v>
      </c>
      <c r="E122" s="13">
        <f t="shared" si="40"/>
        <v>138836199.40000001</v>
      </c>
      <c r="F122" s="13">
        <f t="shared" si="40"/>
        <v>135937425.40000001</v>
      </c>
      <c r="G122" s="13">
        <f>G123</f>
        <v>532914229.79999995</v>
      </c>
      <c r="H122" s="13">
        <v>432914229.79999995</v>
      </c>
    </row>
    <row r="123" spans="1:8" ht="16.2" hidden="1" outlineLevel="2" thickTop="1" thickBot="1" x14ac:dyDescent="0.35">
      <c r="A123" s="19" t="s">
        <v>232</v>
      </c>
      <c r="B123" s="20" t="s">
        <v>233</v>
      </c>
      <c r="C123" s="22">
        <f>(77487454+10000000-7500000+25000000)+25000000</f>
        <v>129987454</v>
      </c>
      <c r="D123" s="22">
        <f>(75653151+10000000-7500000+25000000)+25000000</f>
        <v>128153151</v>
      </c>
      <c r="E123" s="22">
        <f>(78487454*(1+0.1)+10000000-7500000+25000000)+25000000</f>
        <v>138836199.40000001</v>
      </c>
      <c r="F123" s="22">
        <f>(73487454*(1+0.1)+2601226+10000000-7500000+25000000)+25000000</f>
        <v>135937425.40000001</v>
      </c>
      <c r="G123" s="21">
        <f>SUM(C123:F123)</f>
        <v>532914229.79999995</v>
      </c>
      <c r="H123" s="21">
        <v>432914229.79999995</v>
      </c>
    </row>
    <row r="124" spans="1:8" ht="20.399999999999999" customHeight="1" outlineLevel="1" collapsed="1" thickTop="1" thickBot="1" x14ac:dyDescent="0.35">
      <c r="A124" s="109"/>
      <c r="B124" s="125"/>
      <c r="C124" s="111"/>
      <c r="D124" s="111"/>
      <c r="E124" s="111"/>
      <c r="F124" s="111"/>
      <c r="G124" s="112"/>
      <c r="H124" s="112"/>
    </row>
    <row r="125" spans="1:8" ht="33" customHeight="1" thickTop="1" thickBot="1" x14ac:dyDescent="0.35">
      <c r="A125" s="104"/>
      <c r="B125" s="105" t="s">
        <v>234</v>
      </c>
      <c r="C125" s="106">
        <f>C121+C105+C73+C9</f>
        <v>2179552765.125</v>
      </c>
      <c r="D125" s="106">
        <f>D121+D105+D73+D9</f>
        <v>5991333649.6583328</v>
      </c>
      <c r="E125" s="106">
        <f>E121+E105+E73+E9</f>
        <v>1427391659.8583331</v>
      </c>
      <c r="F125" s="106">
        <f>F121+F105+F73+F9</f>
        <v>1290578861.3583331</v>
      </c>
      <c r="G125" s="106">
        <f>G121+G105+G73+G9</f>
        <v>10888856936</v>
      </c>
      <c r="H125" s="106">
        <v>9536316433</v>
      </c>
    </row>
    <row r="126" spans="1:8" ht="15.6" x14ac:dyDescent="0.3">
      <c r="A126" s="77"/>
      <c r="B126" s="78"/>
      <c r="C126" s="79"/>
      <c r="D126" s="79"/>
      <c r="E126" s="79"/>
      <c r="F126" s="79"/>
      <c r="G126" s="80"/>
      <c r="H126" s="80"/>
    </row>
    <row r="127" spans="1:8" ht="15.6" x14ac:dyDescent="0.3">
      <c r="G127" s="91"/>
      <c r="H127" s="91"/>
    </row>
    <row r="128" spans="1:8" ht="15.6" x14ac:dyDescent="0.3">
      <c r="G128" s="91"/>
      <c r="H128" s="91"/>
    </row>
    <row r="134" spans="1:9" x14ac:dyDescent="0.3">
      <c r="G134" s="93"/>
      <c r="H134" s="93"/>
    </row>
    <row r="140" spans="1:9" s="90" customFormat="1" x14ac:dyDescent="0.3">
      <c r="A140"/>
      <c r="B140"/>
      <c r="C140" s="89"/>
      <c r="D140" s="89"/>
      <c r="E140" s="89"/>
      <c r="F140" s="89"/>
      <c r="G140" s="89"/>
      <c r="H140" s="97"/>
      <c r="I140"/>
    </row>
  </sheetData>
  <autoFilter ref="A8:H8" xr:uid="{00000000-0001-0000-0100-000000000000}"/>
  <mergeCells count="4">
    <mergeCell ref="C2:D2"/>
    <mergeCell ref="C4:D4"/>
    <mergeCell ref="C6:D6"/>
    <mergeCell ref="B2:B6"/>
  </mergeCells>
  <printOptions horizontalCentered="1" verticalCentered="1"/>
  <pageMargins left="0.11811023622047245" right="0.11811023622047245" top="0.35433070866141736" bottom="0.35433070866141736" header="0.31496062992125984" footer="0.31496062992125984"/>
  <pageSetup paperSize="9" scale="61" orientation="landscape" r:id="rId1"/>
  <rowBreaks count="6" manualBreakCount="6">
    <brk id="21" max="9" man="1"/>
    <brk id="42" max="9" man="1"/>
    <brk id="61" max="9" man="1"/>
    <brk id="80" max="9" man="1"/>
    <brk id="96" max="9" man="1"/>
    <brk id="120" max="9" man="1"/>
  </rowBreaks>
  <drawing r:id="rId2"/>
  <legacyDrawing r:id="rId3"/>
  <oleObjects>
    <mc:AlternateContent xmlns:mc="http://schemas.openxmlformats.org/markup-compatibility/2006">
      <mc:Choice Requires="x14">
        <oleObject shapeId="2051" r:id="rId4">
          <objectPr defaultSize="0" autoPict="0" r:id="rId5">
            <anchor moveWithCells="1" sizeWithCells="1">
              <from>
                <xdr:col>0</xdr:col>
                <xdr:colOff>99060</xdr:colOff>
                <xdr:row>1</xdr:row>
                <xdr:rowOff>30480</xdr:rowOff>
              </from>
              <to>
                <xdr:col>1</xdr:col>
                <xdr:colOff>228600</xdr:colOff>
                <xdr:row>5</xdr:row>
                <xdr:rowOff>160020</xdr:rowOff>
              </to>
            </anchor>
          </objectPr>
        </oleObject>
      </mc:Choice>
      <mc:Fallback>
        <oleObject shapeId="205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PTBA-2026</vt:lpstr>
      <vt:lpstr>PTBA-2026_RÉADAPTÉ</vt:lpstr>
      <vt:lpstr>'PTBA-2026'!Impression_des_titres</vt:lpstr>
      <vt:lpstr>'PTBA-2026_RÉADAPTÉ'!Impression_des_titres</vt:lpstr>
      <vt:lpstr>'PTBA-2026'!Zone_d_impression</vt:lpstr>
      <vt:lpstr>'PTBA-2026_RÉADAPTÉ'!Zone_d_impression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Meissa NDOUR</dc:creator>
  <cp:lastModifiedBy>Papa Seck</cp:lastModifiedBy>
  <cp:lastPrinted>2026-02-27T15:51:00Z</cp:lastPrinted>
  <dcterms:created xsi:type="dcterms:W3CDTF">2026-02-20T15:15:47Z</dcterms:created>
  <dcterms:modified xsi:type="dcterms:W3CDTF">2026-05-20T08:44:11Z</dcterms:modified>
</cp:coreProperties>
</file>